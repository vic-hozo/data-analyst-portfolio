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Data\"/>
    </mc:Choice>
  </mc:AlternateContent>
  <xr:revisionPtr revIDLastSave="0" documentId="13_ncr:1_{6A43C008-EEDB-49AA-BF1E-003F42E58212}" xr6:coauthVersionLast="47" xr6:coauthVersionMax="47" xr10:uidLastSave="{00000000-0000-0000-0000-000000000000}"/>
  <bookViews>
    <workbookView xWindow="-120" yWindow="-120" windowWidth="29040" windowHeight="15720" activeTab="2" xr2:uid="{00000000-000D-0000-FFFF-FFFF00000000}"/>
  </bookViews>
  <sheets>
    <sheet name="Raw Data" sheetId="1" r:id="rId1"/>
    <sheet name="Cleaned" sheetId="2" r:id="rId2"/>
    <sheet name="Pivot Tables" sheetId="3" r:id="rId3"/>
    <sheet name="Dashboard" sheetId="4" r:id="rId4"/>
    <sheet name="Cleaning Data" sheetId="5" r:id="rId5"/>
    <sheet name="Insights" sheetId="6" r:id="rId6"/>
  </sheets>
  <definedNames>
    <definedName name="_xlnm._FilterDatabase" localSheetId="0" hidden="1">'Raw Data'!#REF!</definedName>
    <definedName name="Slicer_Assignment_Group">#N/A</definedName>
    <definedName name="Slicer_Category">#N/A</definedName>
    <definedName name="Slicer_Created_Month">#N/A</definedName>
    <definedName name="Slicer_Priorit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05" i="1" l="1"/>
  <c r="F505" i="1"/>
  <c r="M11" i="2" l="1"/>
  <c r="I8" i="4"/>
  <c r="H8" i="4"/>
  <c r="G8" i="4"/>
  <c r="K3" i="4"/>
  <c r="J3" i="4"/>
  <c r="S501" i="2"/>
  <c r="R501" i="2"/>
  <c r="Q501" i="2"/>
  <c r="P501" i="2"/>
  <c r="O501" i="2"/>
  <c r="N501" i="2"/>
  <c r="M501" i="2"/>
  <c r="S500" i="2"/>
  <c r="R500" i="2"/>
  <c r="Q500" i="2"/>
  <c r="P500" i="2"/>
  <c r="O500" i="2"/>
  <c r="N500" i="2"/>
  <c r="M500" i="2"/>
  <c r="S499" i="2"/>
  <c r="R499" i="2"/>
  <c r="Q499" i="2"/>
  <c r="P499" i="2"/>
  <c r="O499" i="2"/>
  <c r="N499" i="2"/>
  <c r="M499" i="2"/>
  <c r="S498" i="2"/>
  <c r="R498" i="2"/>
  <c r="Q498" i="2"/>
  <c r="P498" i="2"/>
  <c r="N498" i="2"/>
  <c r="O498" i="2" s="1"/>
  <c r="M498" i="2"/>
  <c r="S497" i="2"/>
  <c r="R497" i="2"/>
  <c r="Q497" i="2"/>
  <c r="P497" i="2"/>
  <c r="N497" i="2"/>
  <c r="M497" i="2"/>
  <c r="O497" i="2" s="1"/>
  <c r="S496" i="2"/>
  <c r="R496" i="2"/>
  <c r="Q496" i="2"/>
  <c r="P496" i="2"/>
  <c r="N496" i="2"/>
  <c r="O496" i="2" s="1"/>
  <c r="M496" i="2"/>
  <c r="S495" i="2"/>
  <c r="R495" i="2"/>
  <c r="Q495" i="2"/>
  <c r="P495" i="2"/>
  <c r="N495" i="2"/>
  <c r="O495" i="2" s="1"/>
  <c r="M495" i="2"/>
  <c r="S494" i="2"/>
  <c r="R494" i="2"/>
  <c r="Q494" i="2"/>
  <c r="P494" i="2"/>
  <c r="O494" i="2"/>
  <c r="N494" i="2"/>
  <c r="M494" i="2"/>
  <c r="S493" i="2"/>
  <c r="R493" i="2"/>
  <c r="Q493" i="2"/>
  <c r="P493" i="2"/>
  <c r="O493" i="2"/>
  <c r="N493" i="2"/>
  <c r="M493" i="2"/>
  <c r="S492" i="2"/>
  <c r="R492" i="2"/>
  <c r="Q492" i="2"/>
  <c r="P492" i="2"/>
  <c r="N492" i="2"/>
  <c r="M492" i="2"/>
  <c r="O492" i="2" s="1"/>
  <c r="S491" i="2"/>
  <c r="R491" i="2"/>
  <c r="Q491" i="2"/>
  <c r="P491" i="2"/>
  <c r="O491" i="2"/>
  <c r="N491" i="2"/>
  <c r="M491" i="2"/>
  <c r="S490" i="2"/>
  <c r="R490" i="2"/>
  <c r="Q490" i="2"/>
  <c r="P490" i="2"/>
  <c r="O490" i="2"/>
  <c r="N490" i="2"/>
  <c r="M490" i="2"/>
  <c r="S489" i="2"/>
  <c r="R489" i="2"/>
  <c r="Q489" i="2"/>
  <c r="P489" i="2"/>
  <c r="N489" i="2"/>
  <c r="M489" i="2"/>
  <c r="O489" i="2" s="1"/>
  <c r="S488" i="2"/>
  <c r="R488" i="2"/>
  <c r="Q488" i="2"/>
  <c r="P488" i="2"/>
  <c r="N488" i="2"/>
  <c r="M488" i="2"/>
  <c r="O488" i="2" s="1"/>
  <c r="S487" i="2"/>
  <c r="R487" i="2"/>
  <c r="Q487" i="2"/>
  <c r="P487" i="2"/>
  <c r="O487" i="2"/>
  <c r="N487" i="2"/>
  <c r="M487" i="2"/>
  <c r="S486" i="2"/>
  <c r="R486" i="2"/>
  <c r="Q486" i="2"/>
  <c r="P486" i="2"/>
  <c r="N486" i="2"/>
  <c r="O486" i="2" s="1"/>
  <c r="M486" i="2"/>
  <c r="S485" i="2"/>
  <c r="R485" i="2"/>
  <c r="Q485" i="2"/>
  <c r="P485" i="2"/>
  <c r="O485" i="2"/>
  <c r="N485" i="2"/>
  <c r="M485" i="2"/>
  <c r="S484" i="2"/>
  <c r="R484" i="2"/>
  <c r="Q484" i="2"/>
  <c r="P484" i="2"/>
  <c r="N484" i="2"/>
  <c r="O484" i="2" s="1"/>
  <c r="M484" i="2"/>
  <c r="S483" i="2"/>
  <c r="R483" i="2"/>
  <c r="Q483" i="2"/>
  <c r="P483" i="2"/>
  <c r="O483" i="2"/>
  <c r="N483" i="2"/>
  <c r="M483" i="2"/>
  <c r="S482" i="2"/>
  <c r="R482" i="2"/>
  <c r="Q482" i="2"/>
  <c r="P482" i="2"/>
  <c r="N482" i="2"/>
  <c r="O482" i="2" s="1"/>
  <c r="M482" i="2"/>
  <c r="S481" i="2"/>
  <c r="R481" i="2"/>
  <c r="Q481" i="2"/>
  <c r="P481" i="2"/>
  <c r="O481" i="2"/>
  <c r="N481" i="2"/>
  <c r="M481" i="2"/>
  <c r="S480" i="2"/>
  <c r="R480" i="2"/>
  <c r="Q480" i="2"/>
  <c r="P480" i="2"/>
  <c r="N480" i="2"/>
  <c r="M480" i="2"/>
  <c r="O480" i="2" s="1"/>
  <c r="S479" i="2"/>
  <c r="R479" i="2"/>
  <c r="Q479" i="2"/>
  <c r="P479" i="2"/>
  <c r="O479" i="2"/>
  <c r="N479" i="2"/>
  <c r="M479" i="2"/>
  <c r="S478" i="2"/>
  <c r="R478" i="2"/>
  <c r="Q478" i="2"/>
  <c r="P478" i="2"/>
  <c r="O478" i="2"/>
  <c r="N478" i="2"/>
  <c r="M478" i="2"/>
  <c r="S477" i="2"/>
  <c r="R477" i="2"/>
  <c r="Q477" i="2"/>
  <c r="P477" i="2"/>
  <c r="N477" i="2"/>
  <c r="M477" i="2"/>
  <c r="O477" i="2" s="1"/>
  <c r="S476" i="2"/>
  <c r="R476" i="2"/>
  <c r="Q476" i="2"/>
  <c r="P476" i="2"/>
  <c r="N476" i="2"/>
  <c r="M476" i="2"/>
  <c r="O476" i="2" s="1"/>
  <c r="S475" i="2"/>
  <c r="R475" i="2"/>
  <c r="Q475" i="2"/>
  <c r="P475" i="2"/>
  <c r="O475" i="2"/>
  <c r="N475" i="2"/>
  <c r="M475" i="2"/>
  <c r="S474" i="2"/>
  <c r="R474" i="2"/>
  <c r="Q474" i="2"/>
  <c r="P474" i="2"/>
  <c r="N474" i="2"/>
  <c r="O474" i="2" s="1"/>
  <c r="M474" i="2"/>
  <c r="S473" i="2"/>
  <c r="R473" i="2"/>
  <c r="Q473" i="2"/>
  <c r="P473" i="2"/>
  <c r="O473" i="2"/>
  <c r="N473" i="2"/>
  <c r="M473" i="2"/>
  <c r="S472" i="2"/>
  <c r="R472" i="2"/>
  <c r="Q472" i="2"/>
  <c r="P472" i="2"/>
  <c r="N472" i="2"/>
  <c r="O472" i="2" s="1"/>
  <c r="M472" i="2"/>
  <c r="S471" i="2"/>
  <c r="R471" i="2"/>
  <c r="Q471" i="2"/>
  <c r="P471" i="2"/>
  <c r="N471" i="2"/>
  <c r="O471" i="2" s="1"/>
  <c r="M471" i="2"/>
  <c r="S470" i="2"/>
  <c r="R470" i="2"/>
  <c r="Q470" i="2"/>
  <c r="P470" i="2"/>
  <c r="N470" i="2"/>
  <c r="O470" i="2" s="1"/>
  <c r="M470" i="2"/>
  <c r="S469" i="2"/>
  <c r="R469" i="2"/>
  <c r="Q469" i="2"/>
  <c r="P469" i="2"/>
  <c r="N469" i="2"/>
  <c r="M469" i="2"/>
  <c r="O469" i="2" s="1"/>
  <c r="S468" i="2"/>
  <c r="R468" i="2"/>
  <c r="Q468" i="2"/>
  <c r="P468" i="2"/>
  <c r="O468" i="2"/>
  <c r="N468" i="2"/>
  <c r="M468" i="2"/>
  <c r="S467" i="2"/>
  <c r="R467" i="2"/>
  <c r="Q467" i="2"/>
  <c r="P467" i="2"/>
  <c r="O467" i="2"/>
  <c r="N467" i="2"/>
  <c r="M467" i="2"/>
  <c r="S466" i="2"/>
  <c r="R466" i="2"/>
  <c r="Q466" i="2"/>
  <c r="P466" i="2"/>
  <c r="O466" i="2"/>
  <c r="N466" i="2"/>
  <c r="M466" i="2"/>
  <c r="S465" i="2"/>
  <c r="R465" i="2"/>
  <c r="Q465" i="2"/>
  <c r="P465" i="2"/>
  <c r="N465" i="2"/>
  <c r="M465" i="2"/>
  <c r="O465" i="2" s="1"/>
  <c r="S464" i="2"/>
  <c r="R464" i="2"/>
  <c r="Q464" i="2"/>
  <c r="P464" i="2"/>
  <c r="O464" i="2"/>
  <c r="N464" i="2"/>
  <c r="M464" i="2"/>
  <c r="S463" i="2"/>
  <c r="R463" i="2"/>
  <c r="Q463" i="2"/>
  <c r="P463" i="2"/>
  <c r="O463" i="2"/>
  <c r="N463" i="2"/>
  <c r="M463" i="2"/>
  <c r="S462" i="2"/>
  <c r="R462" i="2"/>
  <c r="Q462" i="2"/>
  <c r="P462" i="2"/>
  <c r="O462" i="2"/>
  <c r="N462" i="2"/>
  <c r="M462" i="2"/>
  <c r="S461" i="2"/>
  <c r="R461" i="2"/>
  <c r="Q461" i="2"/>
  <c r="P461" i="2"/>
  <c r="N461" i="2"/>
  <c r="O461" i="2" s="1"/>
  <c r="M461" i="2"/>
  <c r="S460" i="2"/>
  <c r="R460" i="2"/>
  <c r="Q460" i="2"/>
  <c r="P460" i="2"/>
  <c r="O460" i="2"/>
  <c r="N460" i="2"/>
  <c r="M460" i="2"/>
  <c r="S459" i="2"/>
  <c r="R459" i="2"/>
  <c r="Q459" i="2"/>
  <c r="P459" i="2"/>
  <c r="N459" i="2"/>
  <c r="O459" i="2" s="1"/>
  <c r="M459" i="2"/>
  <c r="S458" i="2"/>
  <c r="R458" i="2"/>
  <c r="Q458" i="2"/>
  <c r="P458" i="2"/>
  <c r="N458" i="2"/>
  <c r="O458" i="2" s="1"/>
  <c r="M458" i="2"/>
  <c r="S457" i="2"/>
  <c r="R457" i="2"/>
  <c r="Q457" i="2"/>
  <c r="P457" i="2"/>
  <c r="N457" i="2"/>
  <c r="M457" i="2"/>
  <c r="O457" i="2" s="1"/>
  <c r="S456" i="2"/>
  <c r="R456" i="2"/>
  <c r="Q456" i="2"/>
  <c r="P456" i="2"/>
  <c r="N456" i="2"/>
  <c r="M456" i="2"/>
  <c r="O456" i="2" s="1"/>
  <c r="S455" i="2"/>
  <c r="R455" i="2"/>
  <c r="Q455" i="2"/>
  <c r="P455" i="2"/>
  <c r="O455" i="2"/>
  <c r="N455" i="2"/>
  <c r="M455" i="2"/>
  <c r="S454" i="2"/>
  <c r="R454" i="2"/>
  <c r="Q454" i="2"/>
  <c r="P454" i="2"/>
  <c r="O454" i="2"/>
  <c r="N454" i="2"/>
  <c r="M454" i="2"/>
  <c r="S453" i="2"/>
  <c r="R453" i="2"/>
  <c r="Q453" i="2"/>
  <c r="P453" i="2"/>
  <c r="O453" i="2"/>
  <c r="N453" i="2"/>
  <c r="M453" i="2"/>
  <c r="S452" i="2"/>
  <c r="R452" i="2"/>
  <c r="Q452" i="2"/>
  <c r="P452" i="2"/>
  <c r="O452" i="2"/>
  <c r="N452" i="2"/>
  <c r="M452" i="2"/>
  <c r="S451" i="2"/>
  <c r="R451" i="2"/>
  <c r="Q451" i="2"/>
  <c r="P451" i="2"/>
  <c r="O451" i="2"/>
  <c r="N451" i="2"/>
  <c r="M451" i="2"/>
  <c r="S450" i="2"/>
  <c r="R450" i="2"/>
  <c r="Q450" i="2"/>
  <c r="P450" i="2"/>
  <c r="O450" i="2"/>
  <c r="N450" i="2"/>
  <c r="M450" i="2"/>
  <c r="S449" i="2"/>
  <c r="R449" i="2"/>
  <c r="Q449" i="2"/>
  <c r="P449" i="2"/>
  <c r="N449" i="2"/>
  <c r="O449" i="2" s="1"/>
  <c r="M449" i="2"/>
  <c r="S448" i="2"/>
  <c r="R448" i="2"/>
  <c r="Q448" i="2"/>
  <c r="P448" i="2"/>
  <c r="O448" i="2"/>
  <c r="N448" i="2"/>
  <c r="M448" i="2"/>
  <c r="S447" i="2"/>
  <c r="R447" i="2"/>
  <c r="Q447" i="2"/>
  <c r="P447" i="2"/>
  <c r="N447" i="2"/>
  <c r="O447" i="2" s="1"/>
  <c r="M447" i="2"/>
  <c r="S446" i="2"/>
  <c r="R446" i="2"/>
  <c r="Q446" i="2"/>
  <c r="P446" i="2"/>
  <c r="N446" i="2"/>
  <c r="O446" i="2" s="1"/>
  <c r="M446" i="2"/>
  <c r="S445" i="2"/>
  <c r="R445" i="2"/>
  <c r="Q445" i="2"/>
  <c r="P445" i="2"/>
  <c r="O445" i="2"/>
  <c r="N445" i="2"/>
  <c r="M445" i="2"/>
  <c r="S444" i="2"/>
  <c r="R444" i="2"/>
  <c r="Q444" i="2"/>
  <c r="P444" i="2"/>
  <c r="O444" i="2"/>
  <c r="N444" i="2"/>
  <c r="M444" i="2"/>
  <c r="S443" i="2"/>
  <c r="R443" i="2"/>
  <c r="Q443" i="2"/>
  <c r="P443" i="2"/>
  <c r="O443" i="2"/>
  <c r="N443" i="2"/>
  <c r="M443" i="2"/>
  <c r="S442" i="2"/>
  <c r="R442" i="2"/>
  <c r="Q442" i="2"/>
  <c r="P442" i="2"/>
  <c r="O442" i="2"/>
  <c r="N442" i="2"/>
  <c r="M442" i="2"/>
  <c r="S441" i="2"/>
  <c r="R441" i="2"/>
  <c r="Q441" i="2"/>
  <c r="P441" i="2"/>
  <c r="O441" i="2"/>
  <c r="N441" i="2"/>
  <c r="M441" i="2"/>
  <c r="S440" i="2"/>
  <c r="R440" i="2"/>
  <c r="Q440" i="2"/>
  <c r="P440" i="2"/>
  <c r="O440" i="2"/>
  <c r="N440" i="2"/>
  <c r="M440" i="2"/>
  <c r="S439" i="2"/>
  <c r="R439" i="2"/>
  <c r="Q439" i="2"/>
  <c r="P439" i="2"/>
  <c r="O439" i="2"/>
  <c r="N439" i="2"/>
  <c r="M439" i="2"/>
  <c r="S438" i="2"/>
  <c r="R438" i="2"/>
  <c r="Q438" i="2"/>
  <c r="P438" i="2"/>
  <c r="O438" i="2"/>
  <c r="N438" i="2"/>
  <c r="M438" i="2"/>
  <c r="S437" i="2"/>
  <c r="R437" i="2"/>
  <c r="Q437" i="2"/>
  <c r="P437" i="2"/>
  <c r="N437" i="2"/>
  <c r="O437" i="2" s="1"/>
  <c r="M437" i="2"/>
  <c r="S436" i="2"/>
  <c r="R436" i="2"/>
  <c r="Q436" i="2"/>
  <c r="P436" i="2"/>
  <c r="N436" i="2"/>
  <c r="O436" i="2" s="1"/>
  <c r="M436" i="2"/>
  <c r="S435" i="2"/>
  <c r="R435" i="2"/>
  <c r="Q435" i="2"/>
  <c r="P435" i="2"/>
  <c r="N435" i="2"/>
  <c r="O435" i="2" s="1"/>
  <c r="M435" i="2"/>
  <c r="S434" i="2"/>
  <c r="R434" i="2"/>
  <c r="Q434" i="2"/>
  <c r="P434" i="2"/>
  <c r="N434" i="2"/>
  <c r="O434" i="2" s="1"/>
  <c r="M434" i="2"/>
  <c r="S433" i="2"/>
  <c r="R433" i="2"/>
  <c r="Q433" i="2"/>
  <c r="P433" i="2"/>
  <c r="N433" i="2"/>
  <c r="M433" i="2"/>
  <c r="O433" i="2" s="1"/>
  <c r="S432" i="2"/>
  <c r="R432" i="2"/>
  <c r="Q432" i="2"/>
  <c r="P432" i="2"/>
  <c r="O432" i="2"/>
  <c r="N432" i="2"/>
  <c r="M432" i="2"/>
  <c r="S431" i="2"/>
  <c r="R431" i="2"/>
  <c r="Q431" i="2"/>
  <c r="P431" i="2"/>
  <c r="O431" i="2"/>
  <c r="N431" i="2"/>
  <c r="M431" i="2"/>
  <c r="S430" i="2"/>
  <c r="R430" i="2"/>
  <c r="Q430" i="2"/>
  <c r="P430" i="2"/>
  <c r="O430" i="2"/>
  <c r="N430" i="2"/>
  <c r="M430" i="2"/>
  <c r="S429" i="2"/>
  <c r="R429" i="2"/>
  <c r="Q429" i="2"/>
  <c r="P429" i="2"/>
  <c r="N429" i="2"/>
  <c r="M429" i="2"/>
  <c r="O429" i="2" s="1"/>
  <c r="S428" i="2"/>
  <c r="R428" i="2"/>
  <c r="Q428" i="2"/>
  <c r="P428" i="2"/>
  <c r="O428" i="2"/>
  <c r="N428" i="2"/>
  <c r="M428" i="2"/>
  <c r="S427" i="2"/>
  <c r="R427" i="2"/>
  <c r="Q427" i="2"/>
  <c r="P427" i="2"/>
  <c r="O427" i="2"/>
  <c r="N427" i="2"/>
  <c r="M427" i="2"/>
  <c r="S426" i="2"/>
  <c r="R426" i="2"/>
  <c r="Q426" i="2"/>
  <c r="P426" i="2"/>
  <c r="N426" i="2"/>
  <c r="O426" i="2" s="1"/>
  <c r="M426" i="2"/>
  <c r="S425" i="2"/>
  <c r="R425" i="2"/>
  <c r="Q425" i="2"/>
  <c r="P425" i="2"/>
  <c r="O425" i="2"/>
  <c r="N425" i="2"/>
  <c r="M425" i="2"/>
  <c r="S424" i="2"/>
  <c r="R424" i="2"/>
  <c r="Q424" i="2"/>
  <c r="P424" i="2"/>
  <c r="N424" i="2"/>
  <c r="O424" i="2" s="1"/>
  <c r="M424" i="2"/>
  <c r="S423" i="2"/>
  <c r="R423" i="2"/>
  <c r="Q423" i="2"/>
  <c r="P423" i="2"/>
  <c r="N423" i="2"/>
  <c r="O423" i="2" s="1"/>
  <c r="M423" i="2"/>
  <c r="S422" i="2"/>
  <c r="R422" i="2"/>
  <c r="Q422" i="2"/>
  <c r="P422" i="2"/>
  <c r="N422" i="2"/>
  <c r="O422" i="2" s="1"/>
  <c r="M422" i="2"/>
  <c r="S421" i="2"/>
  <c r="R421" i="2"/>
  <c r="Q421" i="2"/>
  <c r="P421" i="2"/>
  <c r="N421" i="2"/>
  <c r="M421" i="2"/>
  <c r="O421" i="2" s="1"/>
  <c r="S420" i="2"/>
  <c r="R420" i="2"/>
  <c r="Q420" i="2"/>
  <c r="P420" i="2"/>
  <c r="O420" i="2"/>
  <c r="N420" i="2"/>
  <c r="M420" i="2"/>
  <c r="S419" i="2"/>
  <c r="R419" i="2"/>
  <c r="Q419" i="2"/>
  <c r="P419" i="2"/>
  <c r="O419" i="2"/>
  <c r="N419" i="2"/>
  <c r="M419" i="2"/>
  <c r="S418" i="2"/>
  <c r="R418" i="2"/>
  <c r="Q418" i="2"/>
  <c r="P418" i="2"/>
  <c r="O418" i="2"/>
  <c r="N418" i="2"/>
  <c r="M418" i="2"/>
  <c r="S417" i="2"/>
  <c r="R417" i="2"/>
  <c r="Q417" i="2"/>
  <c r="P417" i="2"/>
  <c r="N417" i="2"/>
  <c r="M417" i="2"/>
  <c r="O417" i="2" s="1"/>
  <c r="S416" i="2"/>
  <c r="R416" i="2"/>
  <c r="Q416" i="2"/>
  <c r="P416" i="2"/>
  <c r="O416" i="2"/>
  <c r="N416" i="2"/>
  <c r="M416" i="2"/>
  <c r="S415" i="2"/>
  <c r="R415" i="2"/>
  <c r="Q415" i="2"/>
  <c r="P415" i="2"/>
  <c r="O415" i="2"/>
  <c r="N415" i="2"/>
  <c r="M415" i="2"/>
  <c r="S414" i="2"/>
  <c r="R414" i="2"/>
  <c r="Q414" i="2"/>
  <c r="P414" i="2"/>
  <c r="O414" i="2"/>
  <c r="N414" i="2"/>
  <c r="M414" i="2"/>
  <c r="S413" i="2"/>
  <c r="R413" i="2"/>
  <c r="Q413" i="2"/>
  <c r="P413" i="2"/>
  <c r="O413" i="2"/>
  <c r="N413" i="2"/>
  <c r="M413" i="2"/>
  <c r="S412" i="2"/>
  <c r="R412" i="2"/>
  <c r="Q412" i="2"/>
  <c r="P412" i="2"/>
  <c r="N412" i="2"/>
  <c r="O412" i="2" s="1"/>
  <c r="M412" i="2"/>
  <c r="S411" i="2"/>
  <c r="R411" i="2"/>
  <c r="Q411" i="2"/>
  <c r="P411" i="2"/>
  <c r="N411" i="2"/>
  <c r="O411" i="2" s="1"/>
  <c r="M411" i="2"/>
  <c r="S410" i="2"/>
  <c r="R410" i="2"/>
  <c r="Q410" i="2"/>
  <c r="P410" i="2"/>
  <c r="N410" i="2"/>
  <c r="O410" i="2" s="1"/>
  <c r="M410" i="2"/>
  <c r="S409" i="2"/>
  <c r="R409" i="2"/>
  <c r="Q409" i="2"/>
  <c r="P409" i="2"/>
  <c r="N409" i="2"/>
  <c r="M409" i="2"/>
  <c r="O409" i="2" s="1"/>
  <c r="S408" i="2"/>
  <c r="R408" i="2"/>
  <c r="Q408" i="2"/>
  <c r="P408" i="2"/>
  <c r="N408" i="2"/>
  <c r="M408" i="2"/>
  <c r="O408" i="2" s="1"/>
  <c r="S407" i="2"/>
  <c r="R407" i="2"/>
  <c r="Q407" i="2"/>
  <c r="P407" i="2"/>
  <c r="O407" i="2"/>
  <c r="N407" i="2"/>
  <c r="M407" i="2"/>
  <c r="S406" i="2"/>
  <c r="R406" i="2"/>
  <c r="Q406" i="2"/>
  <c r="P406" i="2"/>
  <c r="O406" i="2"/>
  <c r="N406" i="2"/>
  <c r="M406" i="2"/>
  <c r="S405" i="2"/>
  <c r="R405" i="2"/>
  <c r="Q405" i="2"/>
  <c r="P405" i="2"/>
  <c r="N405" i="2"/>
  <c r="M405" i="2"/>
  <c r="O405" i="2" s="1"/>
  <c r="S404" i="2"/>
  <c r="R404" i="2"/>
  <c r="Q404" i="2"/>
  <c r="P404" i="2"/>
  <c r="O404" i="2"/>
  <c r="N404" i="2"/>
  <c r="M404" i="2"/>
  <c r="S403" i="2"/>
  <c r="R403" i="2"/>
  <c r="Q403" i="2"/>
  <c r="P403" i="2"/>
  <c r="O403" i="2"/>
  <c r="N403" i="2"/>
  <c r="M403" i="2"/>
  <c r="S402" i="2"/>
  <c r="R402" i="2"/>
  <c r="Q402" i="2"/>
  <c r="P402" i="2"/>
  <c r="O402" i="2"/>
  <c r="N402" i="2"/>
  <c r="M402" i="2"/>
  <c r="S401" i="2"/>
  <c r="R401" i="2"/>
  <c r="Q401" i="2"/>
  <c r="P401" i="2"/>
  <c r="N401" i="2"/>
  <c r="O401" i="2" s="1"/>
  <c r="M401" i="2"/>
  <c r="S400" i="2"/>
  <c r="R400" i="2"/>
  <c r="Q400" i="2"/>
  <c r="P400" i="2"/>
  <c r="N400" i="2"/>
  <c r="O400" i="2" s="1"/>
  <c r="M400" i="2"/>
  <c r="S399" i="2"/>
  <c r="R399" i="2"/>
  <c r="Q399" i="2"/>
  <c r="P399" i="2"/>
  <c r="N399" i="2"/>
  <c r="O399" i="2" s="1"/>
  <c r="M399" i="2"/>
  <c r="S398" i="2"/>
  <c r="R398" i="2"/>
  <c r="Q398" i="2"/>
  <c r="P398" i="2"/>
  <c r="N398" i="2"/>
  <c r="O398" i="2" s="1"/>
  <c r="M398" i="2"/>
  <c r="S397" i="2"/>
  <c r="R397" i="2"/>
  <c r="Q397" i="2"/>
  <c r="P397" i="2"/>
  <c r="N397" i="2"/>
  <c r="M397" i="2"/>
  <c r="O397" i="2" s="1"/>
  <c r="S396" i="2"/>
  <c r="R396" i="2"/>
  <c r="Q396" i="2"/>
  <c r="P396" i="2"/>
  <c r="N396" i="2"/>
  <c r="M396" i="2"/>
  <c r="O396" i="2" s="1"/>
  <c r="S395" i="2"/>
  <c r="R395" i="2"/>
  <c r="Q395" i="2"/>
  <c r="P395" i="2"/>
  <c r="O395" i="2"/>
  <c r="N395" i="2"/>
  <c r="M395" i="2"/>
  <c r="S394" i="2"/>
  <c r="R394" i="2"/>
  <c r="Q394" i="2"/>
  <c r="P394" i="2"/>
  <c r="O394" i="2"/>
  <c r="N394" i="2"/>
  <c r="M394" i="2"/>
  <c r="S393" i="2"/>
  <c r="R393" i="2"/>
  <c r="Q393" i="2"/>
  <c r="P393" i="2"/>
  <c r="N393" i="2"/>
  <c r="M393" i="2"/>
  <c r="O393" i="2" s="1"/>
  <c r="S392" i="2"/>
  <c r="R392" i="2"/>
  <c r="Q392" i="2"/>
  <c r="P392" i="2"/>
  <c r="O392" i="2"/>
  <c r="N392" i="2"/>
  <c r="M392" i="2"/>
  <c r="S391" i="2"/>
  <c r="R391" i="2"/>
  <c r="Q391" i="2"/>
  <c r="P391" i="2"/>
  <c r="O391" i="2"/>
  <c r="N391" i="2"/>
  <c r="M391" i="2"/>
  <c r="S390" i="2"/>
  <c r="R390" i="2"/>
  <c r="Q390" i="2"/>
  <c r="P390" i="2"/>
  <c r="N390" i="2"/>
  <c r="O390" i="2" s="1"/>
  <c r="M390" i="2"/>
  <c r="S389" i="2"/>
  <c r="R389" i="2"/>
  <c r="Q389" i="2"/>
  <c r="P389" i="2"/>
  <c r="N389" i="2"/>
  <c r="O389" i="2" s="1"/>
  <c r="M389" i="2"/>
  <c r="S388" i="2"/>
  <c r="R388" i="2"/>
  <c r="Q388" i="2"/>
  <c r="P388" i="2"/>
  <c r="N388" i="2"/>
  <c r="O388" i="2" s="1"/>
  <c r="M388" i="2"/>
  <c r="S387" i="2"/>
  <c r="R387" i="2"/>
  <c r="Q387" i="2"/>
  <c r="P387" i="2"/>
  <c r="N387" i="2"/>
  <c r="O387" i="2" s="1"/>
  <c r="M387" i="2"/>
  <c r="S386" i="2"/>
  <c r="R386" i="2"/>
  <c r="Q386" i="2"/>
  <c r="P386" i="2"/>
  <c r="O386" i="2"/>
  <c r="N386" i="2"/>
  <c r="M386" i="2"/>
  <c r="S385" i="2"/>
  <c r="R385" i="2"/>
  <c r="Q385" i="2"/>
  <c r="P385" i="2"/>
  <c r="N385" i="2"/>
  <c r="M385" i="2"/>
  <c r="O385" i="2" s="1"/>
  <c r="S384" i="2"/>
  <c r="R384" i="2"/>
  <c r="Q384" i="2"/>
  <c r="P384" i="2"/>
  <c r="N384" i="2"/>
  <c r="M384" i="2"/>
  <c r="O384" i="2" s="1"/>
  <c r="S383" i="2"/>
  <c r="R383" i="2"/>
  <c r="Q383" i="2"/>
  <c r="P383" i="2"/>
  <c r="O383" i="2"/>
  <c r="N383" i="2"/>
  <c r="M383" i="2"/>
  <c r="S382" i="2"/>
  <c r="R382" i="2"/>
  <c r="Q382" i="2"/>
  <c r="P382" i="2"/>
  <c r="O382" i="2"/>
  <c r="N382" i="2"/>
  <c r="M382" i="2"/>
  <c r="S381" i="2"/>
  <c r="R381" i="2"/>
  <c r="Q381" i="2"/>
  <c r="P381" i="2"/>
  <c r="N381" i="2"/>
  <c r="M381" i="2"/>
  <c r="O381" i="2" s="1"/>
  <c r="S380" i="2"/>
  <c r="R380" i="2"/>
  <c r="Q380" i="2"/>
  <c r="P380" i="2"/>
  <c r="O380" i="2"/>
  <c r="N380" i="2"/>
  <c r="M380" i="2"/>
  <c r="S379" i="2"/>
  <c r="R379" i="2"/>
  <c r="Q379" i="2"/>
  <c r="P379" i="2"/>
  <c r="O379" i="2"/>
  <c r="N379" i="2"/>
  <c r="M379" i="2"/>
  <c r="S378" i="2"/>
  <c r="R378" i="2"/>
  <c r="Q378" i="2"/>
  <c r="P378" i="2"/>
  <c r="N378" i="2"/>
  <c r="O378" i="2" s="1"/>
  <c r="M378" i="2"/>
  <c r="S377" i="2"/>
  <c r="R377" i="2"/>
  <c r="Q377" i="2"/>
  <c r="P377" i="2"/>
  <c r="N377" i="2"/>
  <c r="O377" i="2" s="1"/>
  <c r="M377" i="2"/>
  <c r="S376" i="2"/>
  <c r="R376" i="2"/>
  <c r="Q376" i="2"/>
  <c r="P376" i="2"/>
  <c r="N376" i="2"/>
  <c r="O376" i="2" s="1"/>
  <c r="M376" i="2"/>
  <c r="S375" i="2"/>
  <c r="R375" i="2"/>
  <c r="Q375" i="2"/>
  <c r="P375" i="2"/>
  <c r="N375" i="2"/>
  <c r="O375" i="2" s="1"/>
  <c r="M375" i="2"/>
  <c r="S374" i="2"/>
  <c r="R374" i="2"/>
  <c r="Q374" i="2"/>
  <c r="P374" i="2"/>
  <c r="N374" i="2"/>
  <c r="O374" i="2" s="1"/>
  <c r="M374" i="2"/>
  <c r="S373" i="2"/>
  <c r="R373" i="2"/>
  <c r="Q373" i="2"/>
  <c r="P373" i="2"/>
  <c r="O373" i="2"/>
  <c r="N373" i="2"/>
  <c r="M373" i="2"/>
  <c r="S372" i="2"/>
  <c r="R372" i="2"/>
  <c r="Q372" i="2"/>
  <c r="P372" i="2"/>
  <c r="N372" i="2"/>
  <c r="M372" i="2"/>
  <c r="O372" i="2" s="1"/>
  <c r="S371" i="2"/>
  <c r="R371" i="2"/>
  <c r="Q371" i="2"/>
  <c r="P371" i="2"/>
  <c r="O371" i="2"/>
  <c r="N371" i="2"/>
  <c r="M371" i="2"/>
  <c r="S370" i="2"/>
  <c r="R370" i="2"/>
  <c r="Q370" i="2"/>
  <c r="P370" i="2"/>
  <c r="O370" i="2"/>
  <c r="N370" i="2"/>
  <c r="M370" i="2"/>
  <c r="S369" i="2"/>
  <c r="R369" i="2"/>
  <c r="Q369" i="2"/>
  <c r="P369" i="2"/>
  <c r="N369" i="2"/>
  <c r="M369" i="2"/>
  <c r="O369" i="2" s="1"/>
  <c r="S368" i="2"/>
  <c r="R368" i="2"/>
  <c r="Q368" i="2"/>
  <c r="P368" i="2"/>
  <c r="O368" i="2"/>
  <c r="N368" i="2"/>
  <c r="M368" i="2"/>
  <c r="S367" i="2"/>
  <c r="R367" i="2"/>
  <c r="Q367" i="2"/>
  <c r="P367" i="2"/>
  <c r="O367" i="2"/>
  <c r="N367" i="2"/>
  <c r="M367" i="2"/>
  <c r="S366" i="2"/>
  <c r="R366" i="2"/>
  <c r="Q366" i="2"/>
  <c r="P366" i="2"/>
  <c r="O366" i="2"/>
  <c r="N366" i="2"/>
  <c r="M366" i="2"/>
  <c r="S365" i="2"/>
  <c r="R365" i="2"/>
  <c r="Q365" i="2"/>
  <c r="P365" i="2"/>
  <c r="N365" i="2"/>
  <c r="O365" i="2" s="1"/>
  <c r="M365" i="2"/>
  <c r="S364" i="2"/>
  <c r="R364" i="2"/>
  <c r="Q364" i="2"/>
  <c r="P364" i="2"/>
  <c r="N364" i="2"/>
  <c r="O364" i="2" s="1"/>
  <c r="M364" i="2"/>
  <c r="S363" i="2"/>
  <c r="R363" i="2"/>
  <c r="Q363" i="2"/>
  <c r="P363" i="2"/>
  <c r="N363" i="2"/>
  <c r="O363" i="2" s="1"/>
  <c r="M363" i="2"/>
  <c r="S362" i="2"/>
  <c r="R362" i="2"/>
  <c r="Q362" i="2"/>
  <c r="P362" i="2"/>
  <c r="N362" i="2"/>
  <c r="O362" i="2" s="1"/>
  <c r="M362" i="2"/>
  <c r="S361" i="2"/>
  <c r="R361" i="2"/>
  <c r="Q361" i="2"/>
  <c r="P361" i="2"/>
  <c r="O361" i="2"/>
  <c r="N361" i="2"/>
  <c r="M361" i="2"/>
  <c r="S360" i="2"/>
  <c r="R360" i="2"/>
  <c r="Q360" i="2"/>
  <c r="P360" i="2"/>
  <c r="N360" i="2"/>
  <c r="M360" i="2"/>
  <c r="O360" i="2" s="1"/>
  <c r="S359" i="2"/>
  <c r="R359" i="2"/>
  <c r="Q359" i="2"/>
  <c r="P359" i="2"/>
  <c r="O359" i="2"/>
  <c r="N359" i="2"/>
  <c r="M359" i="2"/>
  <c r="S358" i="2"/>
  <c r="R358" i="2"/>
  <c r="Q358" i="2"/>
  <c r="P358" i="2"/>
  <c r="O358" i="2"/>
  <c r="N358" i="2"/>
  <c r="M358" i="2"/>
  <c r="S357" i="2"/>
  <c r="R357" i="2"/>
  <c r="Q357" i="2"/>
  <c r="P357" i="2"/>
  <c r="N357" i="2"/>
  <c r="M357" i="2"/>
  <c r="O357" i="2" s="1"/>
  <c r="S356" i="2"/>
  <c r="R356" i="2"/>
  <c r="Q356" i="2"/>
  <c r="P356" i="2"/>
  <c r="O356" i="2"/>
  <c r="N356" i="2"/>
  <c r="M356" i="2"/>
  <c r="S355" i="2"/>
  <c r="R355" i="2"/>
  <c r="Q355" i="2"/>
  <c r="P355" i="2"/>
  <c r="O355" i="2"/>
  <c r="N355" i="2"/>
  <c r="M355" i="2"/>
  <c r="S354" i="2"/>
  <c r="R354" i="2"/>
  <c r="Q354" i="2"/>
  <c r="P354" i="2"/>
  <c r="N354" i="2"/>
  <c r="O354" i="2" s="1"/>
  <c r="M354" i="2"/>
  <c r="S353" i="2"/>
  <c r="R353" i="2"/>
  <c r="Q353" i="2"/>
  <c r="P353" i="2"/>
  <c r="N353" i="2"/>
  <c r="O353" i="2" s="1"/>
  <c r="M353" i="2"/>
  <c r="S352" i="2"/>
  <c r="R352" i="2"/>
  <c r="Q352" i="2"/>
  <c r="P352" i="2"/>
  <c r="N352" i="2"/>
  <c r="O352" i="2" s="1"/>
  <c r="M352" i="2"/>
  <c r="S351" i="2"/>
  <c r="R351" i="2"/>
  <c r="Q351" i="2"/>
  <c r="P351" i="2"/>
  <c r="O351" i="2"/>
  <c r="N351" i="2"/>
  <c r="M351" i="2"/>
  <c r="S350" i="2"/>
  <c r="R350" i="2"/>
  <c r="Q350" i="2"/>
  <c r="P350" i="2"/>
  <c r="O350" i="2"/>
  <c r="N350" i="2"/>
  <c r="M350" i="2"/>
  <c r="S349" i="2"/>
  <c r="R349" i="2"/>
  <c r="Q349" i="2"/>
  <c r="P349" i="2"/>
  <c r="O349" i="2"/>
  <c r="N349" i="2"/>
  <c r="M349" i="2"/>
  <c r="S348" i="2"/>
  <c r="R348" i="2"/>
  <c r="Q348" i="2"/>
  <c r="P348" i="2"/>
  <c r="O348" i="2"/>
  <c r="N348" i="2"/>
  <c r="M348" i="2"/>
  <c r="S347" i="2"/>
  <c r="R347" i="2"/>
  <c r="Q347" i="2"/>
  <c r="P347" i="2"/>
  <c r="O347" i="2"/>
  <c r="N347" i="2"/>
  <c r="M347" i="2"/>
  <c r="S346" i="2"/>
  <c r="R346" i="2"/>
  <c r="Q346" i="2"/>
  <c r="P346" i="2"/>
  <c r="O346" i="2"/>
  <c r="N346" i="2"/>
  <c r="M346" i="2"/>
  <c r="S345" i="2"/>
  <c r="R345" i="2"/>
  <c r="Q345" i="2"/>
  <c r="P345" i="2"/>
  <c r="O345" i="2"/>
  <c r="N345" i="2"/>
  <c r="M345" i="2"/>
  <c r="S344" i="2"/>
  <c r="R344" i="2"/>
  <c r="Q344" i="2"/>
  <c r="P344" i="2"/>
  <c r="O344" i="2"/>
  <c r="N344" i="2"/>
  <c r="M344" i="2"/>
  <c r="S343" i="2"/>
  <c r="R343" i="2"/>
  <c r="Q343" i="2"/>
  <c r="P343" i="2"/>
  <c r="O343" i="2"/>
  <c r="N343" i="2"/>
  <c r="M343" i="2"/>
  <c r="S342" i="2"/>
  <c r="R342" i="2"/>
  <c r="Q342" i="2"/>
  <c r="P342" i="2"/>
  <c r="N342" i="2"/>
  <c r="O342" i="2" s="1"/>
  <c r="M342" i="2"/>
  <c r="S341" i="2"/>
  <c r="R341" i="2"/>
  <c r="Q341" i="2"/>
  <c r="P341" i="2"/>
  <c r="O341" i="2"/>
  <c r="N341" i="2"/>
  <c r="M341" i="2"/>
  <c r="S340" i="2"/>
  <c r="R340" i="2"/>
  <c r="Q340" i="2"/>
  <c r="P340" i="2"/>
  <c r="N340" i="2"/>
  <c r="O340" i="2" s="1"/>
  <c r="M340" i="2"/>
  <c r="S339" i="2"/>
  <c r="R339" i="2"/>
  <c r="Q339" i="2"/>
  <c r="P339" i="2"/>
  <c r="N339" i="2"/>
  <c r="O339" i="2" s="1"/>
  <c r="M339" i="2"/>
  <c r="S338" i="2"/>
  <c r="R338" i="2"/>
  <c r="Q338" i="2"/>
  <c r="P338" i="2"/>
  <c r="O338" i="2"/>
  <c r="N338" i="2"/>
  <c r="M338" i="2"/>
  <c r="S337" i="2"/>
  <c r="R337" i="2"/>
  <c r="Q337" i="2"/>
  <c r="P337" i="2"/>
  <c r="N337" i="2"/>
  <c r="M337" i="2"/>
  <c r="O337" i="2" s="1"/>
  <c r="S336" i="2"/>
  <c r="R336" i="2"/>
  <c r="Q336" i="2"/>
  <c r="P336" i="2"/>
  <c r="O336" i="2"/>
  <c r="N336" i="2"/>
  <c r="M336" i="2"/>
  <c r="S335" i="2"/>
  <c r="R335" i="2"/>
  <c r="Q335" i="2"/>
  <c r="P335" i="2"/>
  <c r="O335" i="2"/>
  <c r="N335" i="2"/>
  <c r="M335" i="2"/>
  <c r="S334" i="2"/>
  <c r="R334" i="2"/>
  <c r="Q334" i="2"/>
  <c r="P334" i="2"/>
  <c r="O334" i="2"/>
  <c r="N334" i="2"/>
  <c r="M334" i="2"/>
  <c r="S333" i="2"/>
  <c r="R333" i="2"/>
  <c r="Q333" i="2"/>
  <c r="P333" i="2"/>
  <c r="N333" i="2"/>
  <c r="M333" i="2"/>
  <c r="O333" i="2" s="1"/>
  <c r="S332" i="2"/>
  <c r="R332" i="2"/>
  <c r="Q332" i="2"/>
  <c r="P332" i="2"/>
  <c r="O332" i="2"/>
  <c r="N332" i="2"/>
  <c r="M332" i="2"/>
  <c r="S331" i="2"/>
  <c r="R331" i="2"/>
  <c r="Q331" i="2"/>
  <c r="P331" i="2"/>
  <c r="O331" i="2"/>
  <c r="N331" i="2"/>
  <c r="M331" i="2"/>
  <c r="S330" i="2"/>
  <c r="R330" i="2"/>
  <c r="Q330" i="2"/>
  <c r="P330" i="2"/>
  <c r="N330" i="2"/>
  <c r="O330" i="2" s="1"/>
  <c r="M330" i="2"/>
  <c r="S329" i="2"/>
  <c r="R329" i="2"/>
  <c r="Q329" i="2"/>
  <c r="P329" i="2"/>
  <c r="N329" i="2"/>
  <c r="O329" i="2" s="1"/>
  <c r="M329" i="2"/>
  <c r="S328" i="2"/>
  <c r="R328" i="2"/>
  <c r="Q328" i="2"/>
  <c r="P328" i="2"/>
  <c r="N328" i="2"/>
  <c r="O328" i="2" s="1"/>
  <c r="M328" i="2"/>
  <c r="S327" i="2"/>
  <c r="R327" i="2"/>
  <c r="Q327" i="2"/>
  <c r="P327" i="2"/>
  <c r="N327" i="2"/>
  <c r="O327" i="2" s="1"/>
  <c r="M327" i="2"/>
  <c r="S326" i="2"/>
  <c r="R326" i="2"/>
  <c r="Q326" i="2"/>
  <c r="P326" i="2"/>
  <c r="N326" i="2"/>
  <c r="O326" i="2" s="1"/>
  <c r="M326" i="2"/>
  <c r="S325" i="2"/>
  <c r="R325" i="2"/>
  <c r="Q325" i="2"/>
  <c r="P325" i="2"/>
  <c r="N325" i="2"/>
  <c r="M325" i="2"/>
  <c r="O325" i="2" s="1"/>
  <c r="S324" i="2"/>
  <c r="R324" i="2"/>
  <c r="Q324" i="2"/>
  <c r="P324" i="2"/>
  <c r="N324" i="2"/>
  <c r="M324" i="2"/>
  <c r="O324" i="2" s="1"/>
  <c r="S323" i="2"/>
  <c r="R323" i="2"/>
  <c r="Q323" i="2"/>
  <c r="P323" i="2"/>
  <c r="O323" i="2"/>
  <c r="N323" i="2"/>
  <c r="M323" i="2"/>
  <c r="S322" i="2"/>
  <c r="R322" i="2"/>
  <c r="Q322" i="2"/>
  <c r="P322" i="2"/>
  <c r="O322" i="2"/>
  <c r="N322" i="2"/>
  <c r="M322" i="2"/>
  <c r="S321" i="2"/>
  <c r="R321" i="2"/>
  <c r="Q321" i="2"/>
  <c r="P321" i="2"/>
  <c r="N321" i="2"/>
  <c r="M321" i="2"/>
  <c r="O321" i="2" s="1"/>
  <c r="S320" i="2"/>
  <c r="R320" i="2"/>
  <c r="Q320" i="2"/>
  <c r="P320" i="2"/>
  <c r="O320" i="2"/>
  <c r="N320" i="2"/>
  <c r="M320" i="2"/>
  <c r="S319" i="2"/>
  <c r="R319" i="2"/>
  <c r="Q319" i="2"/>
  <c r="P319" i="2"/>
  <c r="O319" i="2"/>
  <c r="N319" i="2"/>
  <c r="M319" i="2"/>
  <c r="S318" i="2"/>
  <c r="R318" i="2"/>
  <c r="Q318" i="2"/>
  <c r="P318" i="2"/>
  <c r="N318" i="2"/>
  <c r="O318" i="2" s="1"/>
  <c r="M318" i="2"/>
  <c r="S317" i="2"/>
  <c r="R317" i="2"/>
  <c r="Q317" i="2"/>
  <c r="P317" i="2"/>
  <c r="O317" i="2"/>
  <c r="N317" i="2"/>
  <c r="M317" i="2"/>
  <c r="S316" i="2"/>
  <c r="R316" i="2"/>
  <c r="Q316" i="2"/>
  <c r="P316" i="2"/>
  <c r="O316" i="2"/>
  <c r="N316" i="2"/>
  <c r="M316" i="2"/>
  <c r="S315" i="2"/>
  <c r="R315" i="2"/>
  <c r="Q315" i="2"/>
  <c r="P315" i="2"/>
  <c r="N315" i="2"/>
  <c r="O315" i="2" s="1"/>
  <c r="M315" i="2"/>
  <c r="S314" i="2"/>
  <c r="R314" i="2"/>
  <c r="Q314" i="2"/>
  <c r="P314" i="2"/>
  <c r="N314" i="2"/>
  <c r="O314" i="2" s="1"/>
  <c r="M314" i="2"/>
  <c r="S313" i="2"/>
  <c r="R313" i="2"/>
  <c r="Q313" i="2"/>
  <c r="P313" i="2"/>
  <c r="N313" i="2"/>
  <c r="M313" i="2"/>
  <c r="O313" i="2" s="1"/>
  <c r="S312" i="2"/>
  <c r="R312" i="2"/>
  <c r="Q312" i="2"/>
  <c r="P312" i="2"/>
  <c r="O312" i="2"/>
  <c r="N312" i="2"/>
  <c r="M312" i="2"/>
  <c r="S311" i="2"/>
  <c r="R311" i="2"/>
  <c r="Q311" i="2"/>
  <c r="P311" i="2"/>
  <c r="O311" i="2"/>
  <c r="N311" i="2"/>
  <c r="M311" i="2"/>
  <c r="S310" i="2"/>
  <c r="R310" i="2"/>
  <c r="Q310" i="2"/>
  <c r="P310" i="2"/>
  <c r="O310" i="2"/>
  <c r="N310" i="2"/>
  <c r="M310" i="2"/>
  <c r="S309" i="2"/>
  <c r="R309" i="2"/>
  <c r="Q309" i="2"/>
  <c r="P309" i="2"/>
  <c r="N309" i="2"/>
  <c r="M309" i="2"/>
  <c r="O309" i="2" s="1"/>
  <c r="S308" i="2"/>
  <c r="R308" i="2"/>
  <c r="Q308" i="2"/>
  <c r="P308" i="2"/>
  <c r="N308" i="2"/>
  <c r="M308" i="2"/>
  <c r="O308" i="2" s="1"/>
  <c r="S307" i="2"/>
  <c r="R307" i="2"/>
  <c r="Q307" i="2"/>
  <c r="P307" i="2"/>
  <c r="O307" i="2"/>
  <c r="N307" i="2"/>
  <c r="M307" i="2"/>
  <c r="S306" i="2"/>
  <c r="R306" i="2"/>
  <c r="Q306" i="2"/>
  <c r="P306" i="2"/>
  <c r="O306" i="2"/>
  <c r="N306" i="2"/>
  <c r="M306" i="2"/>
  <c r="S305" i="2"/>
  <c r="R305" i="2"/>
  <c r="Q305" i="2"/>
  <c r="P305" i="2"/>
  <c r="O305" i="2"/>
  <c r="N305" i="2"/>
  <c r="M305" i="2"/>
  <c r="S304" i="2"/>
  <c r="R304" i="2"/>
  <c r="Q304" i="2"/>
  <c r="P304" i="2"/>
  <c r="N304" i="2"/>
  <c r="M304" i="2"/>
  <c r="O304" i="2" s="1"/>
  <c r="S303" i="2"/>
  <c r="R303" i="2"/>
  <c r="Q303" i="2"/>
  <c r="P303" i="2"/>
  <c r="O303" i="2"/>
  <c r="N303" i="2"/>
  <c r="M303" i="2"/>
  <c r="S302" i="2"/>
  <c r="R302" i="2"/>
  <c r="Q302" i="2"/>
  <c r="P302" i="2"/>
  <c r="N302" i="2"/>
  <c r="O302" i="2" s="1"/>
  <c r="M302" i="2"/>
  <c r="S301" i="2"/>
  <c r="R301" i="2"/>
  <c r="Q301" i="2"/>
  <c r="P301" i="2"/>
  <c r="N301" i="2"/>
  <c r="M301" i="2"/>
  <c r="O301" i="2" s="1"/>
  <c r="S300" i="2"/>
  <c r="R300" i="2"/>
  <c r="Q300" i="2"/>
  <c r="P300" i="2"/>
  <c r="N300" i="2"/>
  <c r="M300" i="2"/>
  <c r="O300" i="2" s="1"/>
  <c r="S299" i="2"/>
  <c r="R299" i="2"/>
  <c r="Q299" i="2"/>
  <c r="P299" i="2"/>
  <c r="O299" i="2"/>
  <c r="N299" i="2"/>
  <c r="M299" i="2"/>
  <c r="S298" i="2"/>
  <c r="R298" i="2"/>
  <c r="Q298" i="2"/>
  <c r="P298" i="2"/>
  <c r="O298" i="2"/>
  <c r="N298" i="2"/>
  <c r="M298" i="2"/>
  <c r="S297" i="2"/>
  <c r="R297" i="2"/>
  <c r="Q297" i="2"/>
  <c r="P297" i="2"/>
  <c r="O297" i="2"/>
  <c r="N297" i="2"/>
  <c r="M297" i="2"/>
  <c r="S296" i="2"/>
  <c r="R296" i="2"/>
  <c r="Q296" i="2"/>
  <c r="P296" i="2"/>
  <c r="O296" i="2"/>
  <c r="N296" i="2"/>
  <c r="M296" i="2"/>
  <c r="S295" i="2"/>
  <c r="R295" i="2"/>
  <c r="Q295" i="2"/>
  <c r="P295" i="2"/>
  <c r="O295" i="2"/>
  <c r="N295" i="2"/>
  <c r="M295" i="2"/>
  <c r="S294" i="2"/>
  <c r="R294" i="2"/>
  <c r="Q294" i="2"/>
  <c r="P294" i="2"/>
  <c r="N294" i="2"/>
  <c r="O294" i="2" s="1"/>
  <c r="M294" i="2"/>
  <c r="S293" i="2"/>
  <c r="R293" i="2"/>
  <c r="Q293" i="2"/>
  <c r="P293" i="2"/>
  <c r="O293" i="2"/>
  <c r="N293" i="2"/>
  <c r="M293" i="2"/>
  <c r="S292" i="2"/>
  <c r="R292" i="2"/>
  <c r="Q292" i="2"/>
  <c r="P292" i="2"/>
  <c r="N292" i="2"/>
  <c r="M292" i="2"/>
  <c r="O292" i="2" s="1"/>
  <c r="S291" i="2"/>
  <c r="R291" i="2"/>
  <c r="Q291" i="2"/>
  <c r="P291" i="2"/>
  <c r="N291" i="2"/>
  <c r="O291" i="2" s="1"/>
  <c r="M291" i="2"/>
  <c r="S290" i="2"/>
  <c r="R290" i="2"/>
  <c r="Q290" i="2"/>
  <c r="P290" i="2"/>
  <c r="N290" i="2"/>
  <c r="O290" i="2" s="1"/>
  <c r="M290" i="2"/>
  <c r="S289" i="2"/>
  <c r="R289" i="2"/>
  <c r="Q289" i="2"/>
  <c r="P289" i="2"/>
  <c r="N289" i="2"/>
  <c r="M289" i="2"/>
  <c r="O289" i="2" s="1"/>
  <c r="S288" i="2"/>
  <c r="R288" i="2"/>
  <c r="Q288" i="2"/>
  <c r="P288" i="2"/>
  <c r="O288" i="2"/>
  <c r="N288" i="2"/>
  <c r="M288" i="2"/>
  <c r="S287" i="2"/>
  <c r="R287" i="2"/>
  <c r="Q287" i="2"/>
  <c r="P287" i="2"/>
  <c r="O287" i="2"/>
  <c r="N287" i="2"/>
  <c r="M287" i="2"/>
  <c r="S286" i="2"/>
  <c r="R286" i="2"/>
  <c r="Q286" i="2"/>
  <c r="P286" i="2"/>
  <c r="O286" i="2"/>
  <c r="N286" i="2"/>
  <c r="M286" i="2"/>
  <c r="S285" i="2"/>
  <c r="R285" i="2"/>
  <c r="Q285" i="2"/>
  <c r="P285" i="2"/>
  <c r="N285" i="2"/>
  <c r="M285" i="2"/>
  <c r="O285" i="2" s="1"/>
  <c r="S284" i="2"/>
  <c r="R284" i="2"/>
  <c r="Q284" i="2"/>
  <c r="P284" i="2"/>
  <c r="N284" i="2"/>
  <c r="M284" i="2"/>
  <c r="O284" i="2" s="1"/>
  <c r="S283" i="2"/>
  <c r="R283" i="2"/>
  <c r="Q283" i="2"/>
  <c r="P283" i="2"/>
  <c r="O283" i="2"/>
  <c r="N283" i="2"/>
  <c r="M283" i="2"/>
  <c r="S282" i="2"/>
  <c r="R282" i="2"/>
  <c r="Q282" i="2"/>
  <c r="P282" i="2"/>
  <c r="O282" i="2"/>
  <c r="N282" i="2"/>
  <c r="M282" i="2"/>
  <c r="S281" i="2"/>
  <c r="R281" i="2"/>
  <c r="Q281" i="2"/>
  <c r="P281" i="2"/>
  <c r="N281" i="2"/>
  <c r="O281" i="2" s="1"/>
  <c r="M281" i="2"/>
  <c r="S280" i="2"/>
  <c r="R280" i="2"/>
  <c r="Q280" i="2"/>
  <c r="P280" i="2"/>
  <c r="N280" i="2"/>
  <c r="M280" i="2"/>
  <c r="O280" i="2" s="1"/>
  <c r="S279" i="2"/>
  <c r="R279" i="2"/>
  <c r="Q279" i="2"/>
  <c r="P279" i="2"/>
  <c r="N279" i="2"/>
  <c r="M279" i="2"/>
  <c r="O279" i="2" s="1"/>
  <c r="S278" i="2"/>
  <c r="R278" i="2"/>
  <c r="Q278" i="2"/>
  <c r="P278" i="2"/>
  <c r="N278" i="2"/>
  <c r="O278" i="2" s="1"/>
  <c r="M278" i="2"/>
  <c r="S277" i="2"/>
  <c r="R277" i="2"/>
  <c r="Q277" i="2"/>
  <c r="P277" i="2"/>
  <c r="N277" i="2"/>
  <c r="M277" i="2"/>
  <c r="O277" i="2" s="1"/>
  <c r="S276" i="2"/>
  <c r="R276" i="2"/>
  <c r="Q276" i="2"/>
  <c r="P276" i="2"/>
  <c r="N276" i="2"/>
  <c r="M276" i="2"/>
  <c r="O276" i="2" s="1"/>
  <c r="S275" i="2"/>
  <c r="R275" i="2"/>
  <c r="Q275" i="2"/>
  <c r="P275" i="2"/>
  <c r="O275" i="2"/>
  <c r="N275" i="2"/>
  <c r="M275" i="2"/>
  <c r="S274" i="2"/>
  <c r="R274" i="2"/>
  <c r="Q274" i="2"/>
  <c r="P274" i="2"/>
  <c r="O274" i="2"/>
  <c r="N274" i="2"/>
  <c r="M274" i="2"/>
  <c r="S273" i="2"/>
  <c r="R273" i="2"/>
  <c r="Q273" i="2"/>
  <c r="P273" i="2"/>
  <c r="N273" i="2"/>
  <c r="M273" i="2"/>
  <c r="O273" i="2" s="1"/>
  <c r="S272" i="2"/>
  <c r="R272" i="2"/>
  <c r="Q272" i="2"/>
  <c r="P272" i="2"/>
  <c r="N272" i="2"/>
  <c r="M272" i="2"/>
  <c r="O272" i="2" s="1"/>
  <c r="S271" i="2"/>
  <c r="R271" i="2"/>
  <c r="Q271" i="2"/>
  <c r="P271" i="2"/>
  <c r="O271" i="2"/>
  <c r="N271" i="2"/>
  <c r="M271" i="2"/>
  <c r="S270" i="2"/>
  <c r="R270" i="2"/>
  <c r="Q270" i="2"/>
  <c r="P270" i="2"/>
  <c r="N270" i="2"/>
  <c r="O270" i="2" s="1"/>
  <c r="M270" i="2"/>
  <c r="S269" i="2"/>
  <c r="R269" i="2"/>
  <c r="Q269" i="2"/>
  <c r="P269" i="2"/>
  <c r="O269" i="2"/>
  <c r="N269" i="2"/>
  <c r="M269" i="2"/>
  <c r="S268" i="2"/>
  <c r="R268" i="2"/>
  <c r="Q268" i="2"/>
  <c r="P268" i="2"/>
  <c r="N268" i="2"/>
  <c r="M268" i="2"/>
  <c r="O268" i="2" s="1"/>
  <c r="S267" i="2"/>
  <c r="R267" i="2"/>
  <c r="Q267" i="2"/>
  <c r="P267" i="2"/>
  <c r="N267" i="2"/>
  <c r="M267" i="2"/>
  <c r="O267" i="2" s="1"/>
  <c r="S266" i="2"/>
  <c r="R266" i="2"/>
  <c r="Q266" i="2"/>
  <c r="P266" i="2"/>
  <c r="N266" i="2"/>
  <c r="O266" i="2" s="1"/>
  <c r="M266" i="2"/>
  <c r="S265" i="2"/>
  <c r="R265" i="2"/>
  <c r="Q265" i="2"/>
  <c r="P265" i="2"/>
  <c r="N265" i="2"/>
  <c r="M265" i="2"/>
  <c r="O265" i="2" s="1"/>
  <c r="S264" i="2"/>
  <c r="R264" i="2"/>
  <c r="Q264" i="2"/>
  <c r="P264" i="2"/>
  <c r="N264" i="2"/>
  <c r="M264" i="2"/>
  <c r="O264" i="2" s="1"/>
  <c r="S263" i="2"/>
  <c r="R263" i="2"/>
  <c r="Q263" i="2"/>
  <c r="P263" i="2"/>
  <c r="O263" i="2"/>
  <c r="N263" i="2"/>
  <c r="M263" i="2"/>
  <c r="S262" i="2"/>
  <c r="R262" i="2"/>
  <c r="Q262" i="2"/>
  <c r="P262" i="2"/>
  <c r="O262" i="2"/>
  <c r="N262" i="2"/>
  <c r="M262" i="2"/>
  <c r="S261" i="2"/>
  <c r="R261" i="2"/>
  <c r="Q261" i="2"/>
  <c r="P261" i="2"/>
  <c r="O261" i="2"/>
  <c r="N261" i="2"/>
  <c r="M261" i="2"/>
  <c r="S260" i="2"/>
  <c r="R260" i="2"/>
  <c r="Q260" i="2"/>
  <c r="P260" i="2"/>
  <c r="N260" i="2"/>
  <c r="M260" i="2"/>
  <c r="O260" i="2" s="1"/>
  <c r="S259" i="2"/>
  <c r="R259" i="2"/>
  <c r="Q259" i="2"/>
  <c r="P259" i="2"/>
  <c r="O259" i="2"/>
  <c r="N259" i="2"/>
  <c r="M259" i="2"/>
  <c r="S258" i="2"/>
  <c r="R258" i="2"/>
  <c r="Q258" i="2"/>
  <c r="P258" i="2"/>
  <c r="O258" i="2"/>
  <c r="N258" i="2"/>
  <c r="M258" i="2"/>
  <c r="S257" i="2"/>
  <c r="R257" i="2"/>
  <c r="Q257" i="2"/>
  <c r="P257" i="2"/>
  <c r="N257" i="2"/>
  <c r="O257" i="2" s="1"/>
  <c r="M257" i="2"/>
  <c r="S256" i="2"/>
  <c r="R256" i="2"/>
  <c r="Q256" i="2"/>
  <c r="P256" i="2"/>
  <c r="N256" i="2"/>
  <c r="M256" i="2"/>
  <c r="O256" i="2" s="1"/>
  <c r="S255" i="2"/>
  <c r="R255" i="2"/>
  <c r="Q255" i="2"/>
  <c r="P255" i="2"/>
  <c r="N255" i="2"/>
  <c r="M255" i="2"/>
  <c r="O255" i="2" s="1"/>
  <c r="S254" i="2"/>
  <c r="R254" i="2"/>
  <c r="Q254" i="2"/>
  <c r="P254" i="2"/>
  <c r="N254" i="2"/>
  <c r="O254" i="2" s="1"/>
  <c r="M254" i="2"/>
  <c r="S253" i="2"/>
  <c r="R253" i="2"/>
  <c r="Q253" i="2"/>
  <c r="P253" i="2"/>
  <c r="N253" i="2"/>
  <c r="M253" i="2"/>
  <c r="O253" i="2" s="1"/>
  <c r="S252" i="2"/>
  <c r="R252" i="2"/>
  <c r="Q252" i="2"/>
  <c r="P252" i="2"/>
  <c r="O252" i="2"/>
  <c r="N252" i="2"/>
  <c r="M252" i="2"/>
  <c r="S251" i="2"/>
  <c r="R251" i="2"/>
  <c r="Q251" i="2"/>
  <c r="P251" i="2"/>
  <c r="O251" i="2"/>
  <c r="N251" i="2"/>
  <c r="M251" i="2"/>
  <c r="S250" i="2"/>
  <c r="R250" i="2"/>
  <c r="Q250" i="2"/>
  <c r="P250" i="2"/>
  <c r="O250" i="2"/>
  <c r="N250" i="2"/>
  <c r="M250" i="2"/>
  <c r="S249" i="2"/>
  <c r="R249" i="2"/>
  <c r="Q249" i="2"/>
  <c r="P249" i="2"/>
  <c r="N249" i="2"/>
  <c r="M249" i="2"/>
  <c r="O249" i="2" s="1"/>
  <c r="S248" i="2"/>
  <c r="R248" i="2"/>
  <c r="Q248" i="2"/>
  <c r="P248" i="2"/>
  <c r="N248" i="2"/>
  <c r="M248" i="2"/>
  <c r="O248" i="2" s="1"/>
  <c r="S247" i="2"/>
  <c r="R247" i="2"/>
  <c r="Q247" i="2"/>
  <c r="P247" i="2"/>
  <c r="O247" i="2"/>
  <c r="N247" i="2"/>
  <c r="M247" i="2"/>
  <c r="S246" i="2"/>
  <c r="R246" i="2"/>
  <c r="Q246" i="2"/>
  <c r="P246" i="2"/>
  <c r="N246" i="2"/>
  <c r="O246" i="2" s="1"/>
  <c r="M246" i="2"/>
  <c r="S245" i="2"/>
  <c r="R245" i="2"/>
  <c r="Q245" i="2"/>
  <c r="P245" i="2"/>
  <c r="O245" i="2"/>
  <c r="N245" i="2"/>
  <c r="M245" i="2"/>
  <c r="S244" i="2"/>
  <c r="R244" i="2"/>
  <c r="Q244" i="2"/>
  <c r="P244" i="2"/>
  <c r="N244" i="2"/>
  <c r="M244" i="2"/>
  <c r="O244" i="2" s="1"/>
  <c r="S243" i="2"/>
  <c r="R243" i="2"/>
  <c r="Q243" i="2"/>
  <c r="P243" i="2"/>
  <c r="N243" i="2"/>
  <c r="M243" i="2"/>
  <c r="O243" i="2" s="1"/>
  <c r="S242" i="2"/>
  <c r="R242" i="2"/>
  <c r="Q242" i="2"/>
  <c r="P242" i="2"/>
  <c r="N242" i="2"/>
  <c r="O242" i="2" s="1"/>
  <c r="M242" i="2"/>
  <c r="S241" i="2"/>
  <c r="R241" i="2"/>
  <c r="Q241" i="2"/>
  <c r="P241" i="2"/>
  <c r="O241" i="2"/>
  <c r="N241" i="2"/>
  <c r="M241" i="2"/>
  <c r="S240" i="2"/>
  <c r="R240" i="2"/>
  <c r="Q240" i="2"/>
  <c r="P240" i="2"/>
  <c r="O240" i="2"/>
  <c r="N240" i="2"/>
  <c r="M240" i="2"/>
  <c r="S239" i="2"/>
  <c r="R239" i="2"/>
  <c r="Q239" i="2"/>
  <c r="P239" i="2"/>
  <c r="O239" i="2"/>
  <c r="N239" i="2"/>
  <c r="M239" i="2"/>
  <c r="S238" i="2"/>
  <c r="R238" i="2"/>
  <c r="Q238" i="2"/>
  <c r="P238" i="2"/>
  <c r="O238" i="2"/>
  <c r="N238" i="2"/>
  <c r="M238" i="2"/>
  <c r="S237" i="2"/>
  <c r="R237" i="2"/>
  <c r="Q237" i="2"/>
  <c r="P237" i="2"/>
  <c r="N237" i="2"/>
  <c r="M237" i="2"/>
  <c r="O237" i="2" s="1"/>
  <c r="S236" i="2"/>
  <c r="R236" i="2"/>
  <c r="Q236" i="2"/>
  <c r="P236" i="2"/>
  <c r="N236" i="2"/>
  <c r="M236" i="2"/>
  <c r="O236" i="2" s="1"/>
  <c r="S235" i="2"/>
  <c r="R235" i="2"/>
  <c r="Q235" i="2"/>
  <c r="P235" i="2"/>
  <c r="O235" i="2"/>
  <c r="N235" i="2"/>
  <c r="M235" i="2"/>
  <c r="S234" i="2"/>
  <c r="R234" i="2"/>
  <c r="Q234" i="2"/>
  <c r="P234" i="2"/>
  <c r="O234" i="2"/>
  <c r="N234" i="2"/>
  <c r="M234" i="2"/>
  <c r="S233" i="2"/>
  <c r="R233" i="2"/>
  <c r="Q233" i="2"/>
  <c r="P233" i="2"/>
  <c r="O233" i="2"/>
  <c r="N233" i="2"/>
  <c r="M233" i="2"/>
  <c r="S232" i="2"/>
  <c r="R232" i="2"/>
  <c r="Q232" i="2"/>
  <c r="P232" i="2"/>
  <c r="N232" i="2"/>
  <c r="M232" i="2"/>
  <c r="O232" i="2" s="1"/>
  <c r="S231" i="2"/>
  <c r="R231" i="2"/>
  <c r="Q231" i="2"/>
  <c r="P231" i="2"/>
  <c r="N231" i="2"/>
  <c r="M231" i="2"/>
  <c r="O231" i="2" s="1"/>
  <c r="S230" i="2"/>
  <c r="R230" i="2"/>
  <c r="Q230" i="2"/>
  <c r="P230" i="2"/>
  <c r="N230" i="2"/>
  <c r="O230" i="2" s="1"/>
  <c r="M230" i="2"/>
  <c r="S229" i="2"/>
  <c r="R229" i="2"/>
  <c r="Q229" i="2"/>
  <c r="P229" i="2"/>
  <c r="O229" i="2"/>
  <c r="N229" i="2"/>
  <c r="M229" i="2"/>
  <c r="S228" i="2"/>
  <c r="R228" i="2"/>
  <c r="Q228" i="2"/>
  <c r="P228" i="2"/>
  <c r="N228" i="2"/>
  <c r="M228" i="2"/>
  <c r="O228" i="2" s="1"/>
  <c r="S227" i="2"/>
  <c r="R227" i="2"/>
  <c r="Q227" i="2"/>
  <c r="P227" i="2"/>
  <c r="O227" i="2"/>
  <c r="N227" i="2"/>
  <c r="M227" i="2"/>
  <c r="S226" i="2"/>
  <c r="R226" i="2"/>
  <c r="Q226" i="2"/>
  <c r="P226" i="2"/>
  <c r="O226" i="2"/>
  <c r="N226" i="2"/>
  <c r="M226" i="2"/>
  <c r="S225" i="2"/>
  <c r="R225" i="2"/>
  <c r="Q225" i="2"/>
  <c r="P225" i="2"/>
  <c r="N225" i="2"/>
  <c r="M225" i="2"/>
  <c r="O225" i="2" s="1"/>
  <c r="S224" i="2"/>
  <c r="R224" i="2"/>
  <c r="Q224" i="2"/>
  <c r="P224" i="2"/>
  <c r="O224" i="2"/>
  <c r="N224" i="2"/>
  <c r="M224" i="2"/>
  <c r="S223" i="2"/>
  <c r="R223" i="2"/>
  <c r="Q223" i="2"/>
  <c r="P223" i="2"/>
  <c r="O223" i="2"/>
  <c r="N223" i="2"/>
  <c r="M223" i="2"/>
  <c r="S222" i="2"/>
  <c r="R222" i="2"/>
  <c r="Q222" i="2"/>
  <c r="P222" i="2"/>
  <c r="N222" i="2"/>
  <c r="O222" i="2" s="1"/>
  <c r="M222" i="2"/>
  <c r="S221" i="2"/>
  <c r="R221" i="2"/>
  <c r="Q221" i="2"/>
  <c r="P221" i="2"/>
  <c r="O221" i="2"/>
  <c r="N221" i="2"/>
  <c r="M221" i="2"/>
  <c r="S220" i="2"/>
  <c r="R220" i="2"/>
  <c r="Q220" i="2"/>
  <c r="P220" i="2"/>
  <c r="O220" i="2"/>
  <c r="N220" i="2"/>
  <c r="M220" i="2"/>
  <c r="S219" i="2"/>
  <c r="R219" i="2"/>
  <c r="Q219" i="2"/>
  <c r="P219" i="2"/>
  <c r="N219" i="2"/>
  <c r="M219" i="2"/>
  <c r="O219" i="2" s="1"/>
  <c r="S218" i="2"/>
  <c r="R218" i="2"/>
  <c r="Q218" i="2"/>
  <c r="P218" i="2"/>
  <c r="N218" i="2"/>
  <c r="O218" i="2" s="1"/>
  <c r="M218" i="2"/>
  <c r="S217" i="2"/>
  <c r="R217" i="2"/>
  <c r="Q217" i="2"/>
  <c r="P217" i="2"/>
  <c r="N217" i="2"/>
  <c r="M217" i="2"/>
  <c r="O217" i="2" s="1"/>
  <c r="S216" i="2"/>
  <c r="R216" i="2"/>
  <c r="Q216" i="2"/>
  <c r="P216" i="2"/>
  <c r="N216" i="2"/>
  <c r="M216" i="2"/>
  <c r="O216" i="2" s="1"/>
  <c r="S215" i="2"/>
  <c r="R215" i="2"/>
  <c r="Q215" i="2"/>
  <c r="P215" i="2"/>
  <c r="O215" i="2"/>
  <c r="N215" i="2"/>
  <c r="M215" i="2"/>
  <c r="S214" i="2"/>
  <c r="R214" i="2"/>
  <c r="Q214" i="2"/>
  <c r="P214" i="2"/>
  <c r="O214" i="2"/>
  <c r="N214" i="2"/>
  <c r="M214" i="2"/>
  <c r="S213" i="2"/>
  <c r="R213" i="2"/>
  <c r="Q213" i="2"/>
  <c r="P213" i="2"/>
  <c r="N213" i="2"/>
  <c r="M213" i="2"/>
  <c r="O213" i="2" s="1"/>
  <c r="S212" i="2"/>
  <c r="R212" i="2"/>
  <c r="Q212" i="2"/>
  <c r="P212" i="2"/>
  <c r="N212" i="2"/>
  <c r="M212" i="2"/>
  <c r="O212" i="2" s="1"/>
  <c r="S211" i="2"/>
  <c r="R211" i="2"/>
  <c r="Q211" i="2"/>
  <c r="P211" i="2"/>
  <c r="O211" i="2"/>
  <c r="N211" i="2"/>
  <c r="M211" i="2"/>
  <c r="S210" i="2"/>
  <c r="R210" i="2"/>
  <c r="Q210" i="2"/>
  <c r="P210" i="2"/>
  <c r="N210" i="2"/>
  <c r="O210" i="2" s="1"/>
  <c r="M210" i="2"/>
  <c r="S209" i="2"/>
  <c r="R209" i="2"/>
  <c r="Q209" i="2"/>
  <c r="P209" i="2"/>
  <c r="N209" i="2"/>
  <c r="O209" i="2" s="1"/>
  <c r="M209" i="2"/>
  <c r="S208" i="2"/>
  <c r="R208" i="2"/>
  <c r="Q208" i="2"/>
  <c r="P208" i="2"/>
  <c r="O208" i="2"/>
  <c r="N208" i="2"/>
  <c r="M208" i="2"/>
  <c r="S207" i="2"/>
  <c r="R207" i="2"/>
  <c r="Q207" i="2"/>
  <c r="P207" i="2"/>
  <c r="N207" i="2"/>
  <c r="M207" i="2"/>
  <c r="O207" i="2" s="1"/>
  <c r="S206" i="2"/>
  <c r="R206" i="2"/>
  <c r="Q206" i="2"/>
  <c r="P206" i="2"/>
  <c r="N206" i="2"/>
  <c r="O206" i="2" s="1"/>
  <c r="M206" i="2"/>
  <c r="S205" i="2"/>
  <c r="R205" i="2"/>
  <c r="Q205" i="2"/>
  <c r="P205" i="2"/>
  <c r="N205" i="2"/>
  <c r="M205" i="2"/>
  <c r="O205" i="2" s="1"/>
  <c r="S204" i="2"/>
  <c r="R204" i="2"/>
  <c r="Q204" i="2"/>
  <c r="P204" i="2"/>
  <c r="N204" i="2"/>
  <c r="M204" i="2"/>
  <c r="O204" i="2" s="1"/>
  <c r="S203" i="2"/>
  <c r="R203" i="2"/>
  <c r="Q203" i="2"/>
  <c r="P203" i="2"/>
  <c r="O203" i="2"/>
  <c r="N203" i="2"/>
  <c r="M203" i="2"/>
  <c r="S202" i="2"/>
  <c r="R202" i="2"/>
  <c r="Q202" i="2"/>
  <c r="P202" i="2"/>
  <c r="O202" i="2"/>
  <c r="N202" i="2"/>
  <c r="M202" i="2"/>
  <c r="S201" i="2"/>
  <c r="R201" i="2"/>
  <c r="Q201" i="2"/>
  <c r="P201" i="2"/>
  <c r="N201" i="2"/>
  <c r="M201" i="2"/>
  <c r="O201" i="2" s="1"/>
  <c r="S200" i="2"/>
  <c r="R200" i="2"/>
  <c r="Q200" i="2"/>
  <c r="P200" i="2"/>
  <c r="N200" i="2"/>
  <c r="M200" i="2"/>
  <c r="O200" i="2" s="1"/>
  <c r="S199" i="2"/>
  <c r="R199" i="2"/>
  <c r="Q199" i="2"/>
  <c r="P199" i="2"/>
  <c r="O199" i="2"/>
  <c r="N199" i="2"/>
  <c r="M199" i="2"/>
  <c r="S198" i="2"/>
  <c r="R198" i="2"/>
  <c r="Q198" i="2"/>
  <c r="P198" i="2"/>
  <c r="N198" i="2"/>
  <c r="O198" i="2" s="1"/>
  <c r="M198" i="2"/>
  <c r="S197" i="2"/>
  <c r="R197" i="2"/>
  <c r="Q197" i="2"/>
  <c r="P197" i="2"/>
  <c r="N197" i="2"/>
  <c r="O197" i="2" s="1"/>
  <c r="M197" i="2"/>
  <c r="S196" i="2"/>
  <c r="R196" i="2"/>
  <c r="Q196" i="2"/>
  <c r="P196" i="2"/>
  <c r="O196" i="2"/>
  <c r="N196" i="2"/>
  <c r="M196" i="2"/>
  <c r="S195" i="2"/>
  <c r="R195" i="2"/>
  <c r="Q195" i="2"/>
  <c r="P195" i="2"/>
  <c r="N195" i="2"/>
  <c r="M195" i="2"/>
  <c r="O195" i="2" s="1"/>
  <c r="S194" i="2"/>
  <c r="R194" i="2"/>
  <c r="Q194" i="2"/>
  <c r="P194" i="2"/>
  <c r="N194" i="2"/>
  <c r="O194" i="2" s="1"/>
  <c r="M194" i="2"/>
  <c r="S193" i="2"/>
  <c r="R193" i="2"/>
  <c r="Q193" i="2"/>
  <c r="P193" i="2"/>
  <c r="N193" i="2"/>
  <c r="M193" i="2"/>
  <c r="O193" i="2" s="1"/>
  <c r="S192" i="2"/>
  <c r="R192" i="2"/>
  <c r="Q192" i="2"/>
  <c r="P192" i="2"/>
  <c r="N192" i="2"/>
  <c r="M192" i="2"/>
  <c r="O192" i="2" s="1"/>
  <c r="S191" i="2"/>
  <c r="R191" i="2"/>
  <c r="Q191" i="2"/>
  <c r="P191" i="2"/>
  <c r="O191" i="2"/>
  <c r="N191" i="2"/>
  <c r="M191" i="2"/>
  <c r="S190" i="2"/>
  <c r="R190" i="2"/>
  <c r="Q190" i="2"/>
  <c r="P190" i="2"/>
  <c r="O190" i="2"/>
  <c r="N190" i="2"/>
  <c r="M190" i="2"/>
  <c r="S189" i="2"/>
  <c r="R189" i="2"/>
  <c r="Q189" i="2"/>
  <c r="P189" i="2"/>
  <c r="N189" i="2"/>
  <c r="M189" i="2"/>
  <c r="O189" i="2" s="1"/>
  <c r="S188" i="2"/>
  <c r="R188" i="2"/>
  <c r="Q188" i="2"/>
  <c r="P188" i="2"/>
  <c r="N188" i="2"/>
  <c r="M188" i="2"/>
  <c r="O188" i="2" s="1"/>
  <c r="S187" i="2"/>
  <c r="R187" i="2"/>
  <c r="Q187" i="2"/>
  <c r="P187" i="2"/>
  <c r="O187" i="2"/>
  <c r="N187" i="2"/>
  <c r="M187" i="2"/>
  <c r="S186" i="2"/>
  <c r="R186" i="2"/>
  <c r="Q186" i="2"/>
  <c r="P186" i="2"/>
  <c r="N186" i="2"/>
  <c r="O186" i="2" s="1"/>
  <c r="M186" i="2"/>
  <c r="S185" i="2"/>
  <c r="R185" i="2"/>
  <c r="Q185" i="2"/>
  <c r="P185" i="2"/>
  <c r="N185" i="2"/>
  <c r="O185" i="2" s="1"/>
  <c r="M185" i="2"/>
  <c r="S184" i="2"/>
  <c r="R184" i="2"/>
  <c r="Q184" i="2"/>
  <c r="P184" i="2"/>
  <c r="N184" i="2"/>
  <c r="M184" i="2"/>
  <c r="O184" i="2" s="1"/>
  <c r="S183" i="2"/>
  <c r="R183" i="2"/>
  <c r="Q183" i="2"/>
  <c r="P183" i="2"/>
  <c r="N183" i="2"/>
  <c r="M183" i="2"/>
  <c r="O183" i="2" s="1"/>
  <c r="S182" i="2"/>
  <c r="R182" i="2"/>
  <c r="Q182" i="2"/>
  <c r="P182" i="2"/>
  <c r="N182" i="2"/>
  <c r="O182" i="2" s="1"/>
  <c r="M182" i="2"/>
  <c r="S181" i="2"/>
  <c r="R181" i="2"/>
  <c r="Q181" i="2"/>
  <c r="P181" i="2"/>
  <c r="O181" i="2"/>
  <c r="N181" i="2"/>
  <c r="M181" i="2"/>
  <c r="S180" i="2"/>
  <c r="R180" i="2"/>
  <c r="Q180" i="2"/>
  <c r="P180" i="2"/>
  <c r="O180" i="2"/>
  <c r="N180" i="2"/>
  <c r="M180" i="2"/>
  <c r="S179" i="2"/>
  <c r="R179" i="2"/>
  <c r="Q179" i="2"/>
  <c r="P179" i="2"/>
  <c r="O179" i="2"/>
  <c r="N179" i="2"/>
  <c r="M179" i="2"/>
  <c r="S178" i="2"/>
  <c r="R178" i="2"/>
  <c r="Q178" i="2"/>
  <c r="P178" i="2"/>
  <c r="O178" i="2"/>
  <c r="N178" i="2"/>
  <c r="M178" i="2"/>
  <c r="S177" i="2"/>
  <c r="R177" i="2"/>
  <c r="Q177" i="2"/>
  <c r="P177" i="2"/>
  <c r="N177" i="2"/>
  <c r="M177" i="2"/>
  <c r="O177" i="2" s="1"/>
  <c r="S176" i="2"/>
  <c r="R176" i="2"/>
  <c r="Q176" i="2"/>
  <c r="P176" i="2"/>
  <c r="N176" i="2"/>
  <c r="M176" i="2"/>
  <c r="O176" i="2" s="1"/>
  <c r="S175" i="2"/>
  <c r="R175" i="2"/>
  <c r="Q175" i="2"/>
  <c r="P175" i="2"/>
  <c r="O175" i="2"/>
  <c r="N175" i="2"/>
  <c r="M175" i="2"/>
  <c r="S174" i="2"/>
  <c r="R174" i="2"/>
  <c r="Q174" i="2"/>
  <c r="P174" i="2"/>
  <c r="N174" i="2"/>
  <c r="O174" i="2" s="1"/>
  <c r="M174" i="2"/>
  <c r="S173" i="2"/>
  <c r="R173" i="2"/>
  <c r="Q173" i="2"/>
  <c r="P173" i="2"/>
  <c r="N173" i="2"/>
  <c r="O173" i="2" s="1"/>
  <c r="M173" i="2"/>
  <c r="S172" i="2"/>
  <c r="R172" i="2"/>
  <c r="Q172" i="2"/>
  <c r="P172" i="2"/>
  <c r="N172" i="2"/>
  <c r="M172" i="2"/>
  <c r="O172" i="2" s="1"/>
  <c r="S171" i="2"/>
  <c r="R171" i="2"/>
  <c r="Q171" i="2"/>
  <c r="P171" i="2"/>
  <c r="N171" i="2"/>
  <c r="M171" i="2"/>
  <c r="O171" i="2" s="1"/>
  <c r="S170" i="2"/>
  <c r="R170" i="2"/>
  <c r="Q170" i="2"/>
  <c r="P170" i="2"/>
  <c r="N170" i="2"/>
  <c r="O170" i="2" s="1"/>
  <c r="M170" i="2"/>
  <c r="S169" i="2"/>
  <c r="R169" i="2"/>
  <c r="Q169" i="2"/>
  <c r="P169" i="2"/>
  <c r="O169" i="2"/>
  <c r="N169" i="2"/>
  <c r="M169" i="2"/>
  <c r="S168" i="2"/>
  <c r="R168" i="2"/>
  <c r="Q168" i="2"/>
  <c r="P168" i="2"/>
  <c r="O168" i="2"/>
  <c r="N168" i="2"/>
  <c r="M168" i="2"/>
  <c r="S167" i="2"/>
  <c r="R167" i="2"/>
  <c r="Q167" i="2"/>
  <c r="P167" i="2"/>
  <c r="O167" i="2"/>
  <c r="N167" i="2"/>
  <c r="M167" i="2"/>
  <c r="S166" i="2"/>
  <c r="R166" i="2"/>
  <c r="Q166" i="2"/>
  <c r="P166" i="2"/>
  <c r="O166" i="2"/>
  <c r="N166" i="2"/>
  <c r="M166" i="2"/>
  <c r="S165" i="2"/>
  <c r="R165" i="2"/>
  <c r="Q165" i="2"/>
  <c r="P165" i="2"/>
  <c r="N165" i="2"/>
  <c r="M165" i="2"/>
  <c r="O165" i="2" s="1"/>
  <c r="S164" i="2"/>
  <c r="R164" i="2"/>
  <c r="Q164" i="2"/>
  <c r="P164" i="2"/>
  <c r="N164" i="2"/>
  <c r="M164" i="2"/>
  <c r="O164" i="2" s="1"/>
  <c r="S163" i="2"/>
  <c r="R163" i="2"/>
  <c r="Q163" i="2"/>
  <c r="P163" i="2"/>
  <c r="O163" i="2"/>
  <c r="N163" i="2"/>
  <c r="M163" i="2"/>
  <c r="S162" i="2"/>
  <c r="R162" i="2"/>
  <c r="Q162" i="2"/>
  <c r="P162" i="2"/>
  <c r="N162" i="2"/>
  <c r="O162" i="2" s="1"/>
  <c r="M162" i="2"/>
  <c r="S161" i="2"/>
  <c r="R161" i="2"/>
  <c r="Q161" i="2"/>
  <c r="P161" i="2"/>
  <c r="N161" i="2"/>
  <c r="O161" i="2" s="1"/>
  <c r="M161" i="2"/>
  <c r="S160" i="2"/>
  <c r="R160" i="2"/>
  <c r="Q160" i="2"/>
  <c r="P160" i="2"/>
  <c r="N160" i="2"/>
  <c r="M160" i="2"/>
  <c r="O160" i="2" s="1"/>
  <c r="S159" i="2"/>
  <c r="R159" i="2"/>
  <c r="Q159" i="2"/>
  <c r="P159" i="2"/>
  <c r="N159" i="2"/>
  <c r="M159" i="2"/>
  <c r="O159" i="2" s="1"/>
  <c r="S158" i="2"/>
  <c r="R158" i="2"/>
  <c r="Q158" i="2"/>
  <c r="P158" i="2"/>
  <c r="N158" i="2"/>
  <c r="O158" i="2" s="1"/>
  <c r="M158" i="2"/>
  <c r="S157" i="2"/>
  <c r="R157" i="2"/>
  <c r="Q157" i="2"/>
  <c r="P157" i="2"/>
  <c r="N157" i="2"/>
  <c r="M157" i="2"/>
  <c r="O157" i="2" s="1"/>
  <c r="S156" i="2"/>
  <c r="R156" i="2"/>
  <c r="Q156" i="2"/>
  <c r="P156" i="2"/>
  <c r="O156" i="2"/>
  <c r="N156" i="2"/>
  <c r="M156" i="2"/>
  <c r="S155" i="2"/>
  <c r="R155" i="2"/>
  <c r="Q155" i="2"/>
  <c r="P155" i="2"/>
  <c r="O155" i="2"/>
  <c r="N155" i="2"/>
  <c r="M155" i="2"/>
  <c r="S154" i="2"/>
  <c r="R154" i="2"/>
  <c r="Q154" i="2"/>
  <c r="P154" i="2"/>
  <c r="O154" i="2"/>
  <c r="N154" i="2"/>
  <c r="M154" i="2"/>
  <c r="S153" i="2"/>
  <c r="R153" i="2"/>
  <c r="Q153" i="2"/>
  <c r="P153" i="2"/>
  <c r="O153" i="2"/>
  <c r="N153" i="2"/>
  <c r="M153" i="2"/>
  <c r="S152" i="2"/>
  <c r="R152" i="2"/>
  <c r="Q152" i="2"/>
  <c r="P152" i="2"/>
  <c r="O152" i="2"/>
  <c r="N152" i="2"/>
  <c r="M152" i="2"/>
  <c r="S151" i="2"/>
  <c r="R151" i="2"/>
  <c r="Q151" i="2"/>
  <c r="P151" i="2"/>
  <c r="O151" i="2"/>
  <c r="N151" i="2"/>
  <c r="M151" i="2"/>
  <c r="S150" i="2"/>
  <c r="R150" i="2"/>
  <c r="Q150" i="2"/>
  <c r="P150" i="2"/>
  <c r="N150" i="2"/>
  <c r="O150" i="2" s="1"/>
  <c r="M150" i="2"/>
  <c r="S149" i="2"/>
  <c r="R149" i="2"/>
  <c r="Q149" i="2"/>
  <c r="P149" i="2"/>
  <c r="N149" i="2"/>
  <c r="O149" i="2" s="1"/>
  <c r="M149" i="2"/>
  <c r="S148" i="2"/>
  <c r="R148" i="2"/>
  <c r="Q148" i="2"/>
  <c r="P148" i="2"/>
  <c r="N148" i="2"/>
  <c r="M148" i="2"/>
  <c r="O148" i="2" s="1"/>
  <c r="S147" i="2"/>
  <c r="R147" i="2"/>
  <c r="Q147" i="2"/>
  <c r="P147" i="2"/>
  <c r="O147" i="2"/>
  <c r="N147" i="2"/>
  <c r="M147" i="2"/>
  <c r="S146" i="2"/>
  <c r="R146" i="2"/>
  <c r="Q146" i="2"/>
  <c r="P146" i="2"/>
  <c r="N146" i="2"/>
  <c r="O146" i="2" s="1"/>
  <c r="M146" i="2"/>
  <c r="S145" i="2"/>
  <c r="R145" i="2"/>
  <c r="Q145" i="2"/>
  <c r="P145" i="2"/>
  <c r="N145" i="2"/>
  <c r="M145" i="2"/>
  <c r="O145" i="2" s="1"/>
  <c r="S144" i="2"/>
  <c r="R144" i="2"/>
  <c r="Q144" i="2"/>
  <c r="P144" i="2"/>
  <c r="N144" i="2"/>
  <c r="M144" i="2"/>
  <c r="O144" i="2" s="1"/>
  <c r="S143" i="2"/>
  <c r="R143" i="2"/>
  <c r="Q143" i="2"/>
  <c r="P143" i="2"/>
  <c r="O143" i="2"/>
  <c r="N143" i="2"/>
  <c r="M143" i="2"/>
  <c r="S142" i="2"/>
  <c r="R142" i="2"/>
  <c r="Q142" i="2"/>
  <c r="P142" i="2"/>
  <c r="O142" i="2"/>
  <c r="N142" i="2"/>
  <c r="M142" i="2"/>
  <c r="S141" i="2"/>
  <c r="R141" i="2"/>
  <c r="Q141" i="2"/>
  <c r="P141" i="2"/>
  <c r="N141" i="2"/>
  <c r="M141" i="2"/>
  <c r="O141" i="2" s="1"/>
  <c r="S140" i="2"/>
  <c r="R140" i="2"/>
  <c r="Q140" i="2"/>
  <c r="P140" i="2"/>
  <c r="N140" i="2"/>
  <c r="M140" i="2"/>
  <c r="O140" i="2" s="1"/>
  <c r="S139" i="2"/>
  <c r="R139" i="2"/>
  <c r="Q139" i="2"/>
  <c r="P139" i="2"/>
  <c r="O139" i="2"/>
  <c r="N139" i="2"/>
  <c r="M139" i="2"/>
  <c r="S138" i="2"/>
  <c r="R138" i="2"/>
  <c r="Q138" i="2"/>
  <c r="P138" i="2"/>
  <c r="O138" i="2"/>
  <c r="N138" i="2"/>
  <c r="M138" i="2"/>
  <c r="S137" i="2"/>
  <c r="R137" i="2"/>
  <c r="Q137" i="2"/>
  <c r="P137" i="2"/>
  <c r="N137" i="2"/>
  <c r="O137" i="2" s="1"/>
  <c r="M137" i="2"/>
  <c r="S136" i="2"/>
  <c r="R136" i="2"/>
  <c r="Q136" i="2"/>
  <c r="P136" i="2"/>
  <c r="O136" i="2"/>
  <c r="N136" i="2"/>
  <c r="M136" i="2"/>
  <c r="S135" i="2"/>
  <c r="R135" i="2"/>
  <c r="Q135" i="2"/>
  <c r="P135" i="2"/>
  <c r="N135" i="2"/>
  <c r="M135" i="2"/>
  <c r="O135" i="2" s="1"/>
  <c r="S134" i="2"/>
  <c r="R134" i="2"/>
  <c r="Q134" i="2"/>
  <c r="P134" i="2"/>
  <c r="O134" i="2"/>
  <c r="N134" i="2"/>
  <c r="M134" i="2"/>
  <c r="S133" i="2"/>
  <c r="R133" i="2"/>
  <c r="Q133" i="2"/>
  <c r="P133" i="2"/>
  <c r="N133" i="2"/>
  <c r="M133" i="2"/>
  <c r="O133" i="2" s="1"/>
  <c r="S132" i="2"/>
  <c r="R132" i="2"/>
  <c r="Q132" i="2"/>
  <c r="P132" i="2"/>
  <c r="O132" i="2"/>
  <c r="N132" i="2"/>
  <c r="M132" i="2"/>
  <c r="S131" i="2"/>
  <c r="R131" i="2"/>
  <c r="Q131" i="2"/>
  <c r="P131" i="2"/>
  <c r="O131" i="2"/>
  <c r="N131" i="2"/>
  <c r="M131" i="2"/>
  <c r="S130" i="2"/>
  <c r="R130" i="2"/>
  <c r="Q130" i="2"/>
  <c r="P130" i="2"/>
  <c r="O130" i="2"/>
  <c r="N130" i="2"/>
  <c r="M130" i="2"/>
  <c r="S129" i="2"/>
  <c r="R129" i="2"/>
  <c r="Q129" i="2"/>
  <c r="P129" i="2"/>
  <c r="N129" i="2"/>
  <c r="M129" i="2"/>
  <c r="O129" i="2" s="1"/>
  <c r="S128" i="2"/>
  <c r="R128" i="2"/>
  <c r="Q128" i="2"/>
  <c r="P128" i="2"/>
  <c r="O128" i="2"/>
  <c r="N128" i="2"/>
  <c r="M128" i="2"/>
  <c r="S127" i="2"/>
  <c r="R127" i="2"/>
  <c r="Q127" i="2"/>
  <c r="P127" i="2"/>
  <c r="O127" i="2"/>
  <c r="N127" i="2"/>
  <c r="M127" i="2"/>
  <c r="S126" i="2"/>
  <c r="R126" i="2"/>
  <c r="Q126" i="2"/>
  <c r="P126" i="2"/>
  <c r="O126" i="2"/>
  <c r="N126" i="2"/>
  <c r="M126" i="2"/>
  <c r="S125" i="2"/>
  <c r="R125" i="2"/>
  <c r="Q125" i="2"/>
  <c r="P125" i="2"/>
  <c r="N125" i="2"/>
  <c r="O125" i="2" s="1"/>
  <c r="M125" i="2"/>
  <c r="S124" i="2"/>
  <c r="R124" i="2"/>
  <c r="Q124" i="2"/>
  <c r="P124" i="2"/>
  <c r="N124" i="2"/>
  <c r="M124" i="2"/>
  <c r="O124" i="2" s="1"/>
  <c r="S123" i="2"/>
  <c r="R123" i="2"/>
  <c r="Q123" i="2"/>
  <c r="P123" i="2"/>
  <c r="O123" i="2"/>
  <c r="N123" i="2"/>
  <c r="M123" i="2"/>
  <c r="S122" i="2"/>
  <c r="R122" i="2"/>
  <c r="Q122" i="2"/>
  <c r="P122" i="2"/>
  <c r="O122" i="2"/>
  <c r="N122" i="2"/>
  <c r="M122" i="2"/>
  <c r="S121" i="2"/>
  <c r="R121" i="2"/>
  <c r="Q121" i="2"/>
  <c r="P121" i="2"/>
  <c r="O121" i="2"/>
  <c r="N121" i="2"/>
  <c r="M121" i="2"/>
  <c r="S120" i="2"/>
  <c r="R120" i="2"/>
  <c r="Q120" i="2"/>
  <c r="P120" i="2"/>
  <c r="N120" i="2"/>
  <c r="M120" i="2"/>
  <c r="O120" i="2" s="1"/>
  <c r="S119" i="2"/>
  <c r="R119" i="2"/>
  <c r="Q119" i="2"/>
  <c r="P119" i="2"/>
  <c r="O119" i="2"/>
  <c r="N119" i="2"/>
  <c r="M119" i="2"/>
  <c r="S118" i="2"/>
  <c r="R118" i="2"/>
  <c r="Q118" i="2"/>
  <c r="P118" i="2"/>
  <c r="O118" i="2"/>
  <c r="N118" i="2"/>
  <c r="M118" i="2"/>
  <c r="S117" i="2"/>
  <c r="R117" i="2"/>
  <c r="Q117" i="2"/>
  <c r="P117" i="2"/>
  <c r="N117" i="2"/>
  <c r="M117" i="2"/>
  <c r="O117" i="2" s="1"/>
  <c r="S116" i="2"/>
  <c r="R116" i="2"/>
  <c r="Q116" i="2"/>
  <c r="P116" i="2"/>
  <c r="O116" i="2"/>
  <c r="N116" i="2"/>
  <c r="M116" i="2"/>
  <c r="S115" i="2"/>
  <c r="R115" i="2"/>
  <c r="Q115" i="2"/>
  <c r="P115" i="2"/>
  <c r="O115" i="2"/>
  <c r="N115" i="2"/>
  <c r="M115" i="2"/>
  <c r="S114" i="2"/>
  <c r="R114" i="2"/>
  <c r="Q114" i="2"/>
  <c r="P114" i="2"/>
  <c r="O114" i="2"/>
  <c r="N114" i="2"/>
  <c r="M114" i="2"/>
  <c r="S113" i="2"/>
  <c r="R113" i="2"/>
  <c r="Q113" i="2"/>
  <c r="P113" i="2"/>
  <c r="O113" i="2"/>
  <c r="N113" i="2"/>
  <c r="M113" i="2"/>
  <c r="S112" i="2"/>
  <c r="R112" i="2"/>
  <c r="Q112" i="2"/>
  <c r="P112" i="2"/>
  <c r="N112" i="2"/>
  <c r="M112" i="2"/>
  <c r="O112" i="2" s="1"/>
  <c r="S111" i="2"/>
  <c r="R111" i="2"/>
  <c r="Q111" i="2"/>
  <c r="P111" i="2"/>
  <c r="N111" i="2"/>
  <c r="M111" i="2"/>
  <c r="O111" i="2" s="1"/>
  <c r="S110" i="2"/>
  <c r="R110" i="2"/>
  <c r="Q110" i="2"/>
  <c r="P110" i="2"/>
  <c r="N110" i="2"/>
  <c r="O110" i="2" s="1"/>
  <c r="M110" i="2"/>
  <c r="S109" i="2"/>
  <c r="R109" i="2"/>
  <c r="Q109" i="2"/>
  <c r="P109" i="2"/>
  <c r="O109" i="2"/>
  <c r="N109" i="2"/>
  <c r="M109" i="2"/>
  <c r="S108" i="2"/>
  <c r="R108" i="2"/>
  <c r="Q108" i="2"/>
  <c r="P108" i="2"/>
  <c r="O108" i="2"/>
  <c r="N108" i="2"/>
  <c r="M108" i="2"/>
  <c r="S107" i="2"/>
  <c r="R107" i="2"/>
  <c r="Q107" i="2"/>
  <c r="P107" i="2"/>
  <c r="O107" i="2"/>
  <c r="N107" i="2"/>
  <c r="M107" i="2"/>
  <c r="S106" i="2"/>
  <c r="R106" i="2"/>
  <c r="Q106" i="2"/>
  <c r="P106" i="2"/>
  <c r="O106" i="2"/>
  <c r="N106" i="2"/>
  <c r="M106" i="2"/>
  <c r="S105" i="2"/>
  <c r="R105" i="2"/>
  <c r="Q105" i="2"/>
  <c r="P105" i="2"/>
  <c r="N105" i="2"/>
  <c r="M105" i="2"/>
  <c r="O105" i="2" s="1"/>
  <c r="S104" i="2"/>
  <c r="R104" i="2"/>
  <c r="Q104" i="2"/>
  <c r="P104" i="2"/>
  <c r="O104" i="2"/>
  <c r="N104" i="2"/>
  <c r="M104" i="2"/>
  <c r="S103" i="2"/>
  <c r="R103" i="2"/>
  <c r="Q103" i="2"/>
  <c r="P103" i="2"/>
  <c r="O103" i="2"/>
  <c r="N103" i="2"/>
  <c r="M103" i="2"/>
  <c r="S102" i="2"/>
  <c r="R102" i="2"/>
  <c r="Q102" i="2"/>
  <c r="P102" i="2"/>
  <c r="N102" i="2"/>
  <c r="O102" i="2" s="1"/>
  <c r="M102" i="2"/>
  <c r="S101" i="2"/>
  <c r="R101" i="2"/>
  <c r="Q101" i="2"/>
  <c r="P101" i="2"/>
  <c r="N101" i="2"/>
  <c r="O101" i="2" s="1"/>
  <c r="M101" i="2"/>
  <c r="S100" i="2"/>
  <c r="R100" i="2"/>
  <c r="Q100" i="2"/>
  <c r="P100" i="2"/>
  <c r="N100" i="2"/>
  <c r="M100" i="2"/>
  <c r="O100" i="2" s="1"/>
  <c r="S99" i="2"/>
  <c r="R99" i="2"/>
  <c r="Q99" i="2"/>
  <c r="P99" i="2"/>
  <c r="N99" i="2"/>
  <c r="M99" i="2"/>
  <c r="O99" i="2" s="1"/>
  <c r="S98" i="2"/>
  <c r="R98" i="2"/>
  <c r="Q98" i="2"/>
  <c r="P98" i="2"/>
  <c r="N98" i="2"/>
  <c r="O98" i="2" s="1"/>
  <c r="M98" i="2"/>
  <c r="S97" i="2"/>
  <c r="R97" i="2"/>
  <c r="Q97" i="2"/>
  <c r="P97" i="2"/>
  <c r="O97" i="2"/>
  <c r="N97" i="2"/>
  <c r="M97" i="2"/>
  <c r="S96" i="2"/>
  <c r="R96" i="2"/>
  <c r="Q96" i="2"/>
  <c r="P96" i="2"/>
  <c r="N96" i="2"/>
  <c r="M96" i="2"/>
  <c r="O96" i="2" s="1"/>
  <c r="S95" i="2"/>
  <c r="R95" i="2"/>
  <c r="Q95" i="2"/>
  <c r="P95" i="2"/>
  <c r="O95" i="2"/>
  <c r="N95" i="2"/>
  <c r="M95" i="2"/>
  <c r="S94" i="2"/>
  <c r="R94" i="2"/>
  <c r="Q94" i="2"/>
  <c r="P94" i="2"/>
  <c r="O94" i="2"/>
  <c r="N94" i="2"/>
  <c r="M94" i="2"/>
  <c r="S93" i="2"/>
  <c r="R93" i="2"/>
  <c r="Q93" i="2"/>
  <c r="P93" i="2"/>
  <c r="N93" i="2"/>
  <c r="M93" i="2"/>
  <c r="O93" i="2" s="1"/>
  <c r="S92" i="2"/>
  <c r="R92" i="2"/>
  <c r="Q92" i="2"/>
  <c r="P92" i="2"/>
  <c r="N92" i="2"/>
  <c r="M92" i="2"/>
  <c r="O92" i="2" s="1"/>
  <c r="S91" i="2"/>
  <c r="R91" i="2"/>
  <c r="Q91" i="2"/>
  <c r="P91" i="2"/>
  <c r="O91" i="2"/>
  <c r="N91" i="2"/>
  <c r="M91" i="2"/>
  <c r="S90" i="2"/>
  <c r="R90" i="2"/>
  <c r="Q90" i="2"/>
  <c r="P90" i="2"/>
  <c r="N90" i="2"/>
  <c r="O90" i="2" s="1"/>
  <c r="M90" i="2"/>
  <c r="S89" i="2"/>
  <c r="R89" i="2"/>
  <c r="Q89" i="2"/>
  <c r="P89" i="2"/>
  <c r="N89" i="2"/>
  <c r="O89" i="2" s="1"/>
  <c r="M89" i="2"/>
  <c r="S88" i="2"/>
  <c r="R88" i="2"/>
  <c r="Q88" i="2"/>
  <c r="P88" i="2"/>
  <c r="O88" i="2"/>
  <c r="N88" i="2"/>
  <c r="M88" i="2"/>
  <c r="S87" i="2"/>
  <c r="R87" i="2"/>
  <c r="Q87" i="2"/>
  <c r="P87" i="2"/>
  <c r="N87" i="2"/>
  <c r="M87" i="2"/>
  <c r="O87" i="2" s="1"/>
  <c r="S86" i="2"/>
  <c r="R86" i="2"/>
  <c r="Q86" i="2"/>
  <c r="P86" i="2"/>
  <c r="N86" i="2"/>
  <c r="O86" i="2" s="1"/>
  <c r="M86" i="2"/>
  <c r="S85" i="2"/>
  <c r="R85" i="2"/>
  <c r="Q85" i="2"/>
  <c r="P85" i="2"/>
  <c r="N85" i="2"/>
  <c r="M85" i="2"/>
  <c r="O85" i="2" s="1"/>
  <c r="S84" i="2"/>
  <c r="R84" i="2"/>
  <c r="Q84" i="2"/>
  <c r="P84" i="2"/>
  <c r="N84" i="2"/>
  <c r="M84" i="2"/>
  <c r="O84" i="2" s="1"/>
  <c r="S83" i="2"/>
  <c r="R83" i="2"/>
  <c r="Q83" i="2"/>
  <c r="P83" i="2"/>
  <c r="O83" i="2"/>
  <c r="N83" i="2"/>
  <c r="M83" i="2"/>
  <c r="S82" i="2"/>
  <c r="R82" i="2"/>
  <c r="Q82" i="2"/>
  <c r="P82" i="2"/>
  <c r="O82" i="2"/>
  <c r="N82" i="2"/>
  <c r="M82" i="2"/>
  <c r="S81" i="2"/>
  <c r="R81" i="2"/>
  <c r="Q81" i="2"/>
  <c r="P81" i="2"/>
  <c r="O81" i="2"/>
  <c r="N81" i="2"/>
  <c r="M81" i="2"/>
  <c r="S80" i="2"/>
  <c r="R80" i="2"/>
  <c r="Q80" i="2"/>
  <c r="P80" i="2"/>
  <c r="N80" i="2"/>
  <c r="M80" i="2"/>
  <c r="O80" i="2" s="1"/>
  <c r="S79" i="2"/>
  <c r="R79" i="2"/>
  <c r="Q79" i="2"/>
  <c r="P79" i="2"/>
  <c r="O79" i="2"/>
  <c r="N79" i="2"/>
  <c r="M79" i="2"/>
  <c r="S78" i="2"/>
  <c r="R78" i="2"/>
  <c r="Q78" i="2"/>
  <c r="P78" i="2"/>
  <c r="O78" i="2"/>
  <c r="N78" i="2"/>
  <c r="M78" i="2"/>
  <c r="S77" i="2"/>
  <c r="R77" i="2"/>
  <c r="Q77" i="2"/>
  <c r="P77" i="2"/>
  <c r="N77" i="2"/>
  <c r="O77" i="2" s="1"/>
  <c r="M77" i="2"/>
  <c r="S76" i="2"/>
  <c r="R76" i="2"/>
  <c r="Q76" i="2"/>
  <c r="P76" i="2"/>
  <c r="N76" i="2"/>
  <c r="M76" i="2"/>
  <c r="O76" i="2" s="1"/>
  <c r="S75" i="2"/>
  <c r="R75" i="2"/>
  <c r="Q75" i="2"/>
  <c r="P75" i="2"/>
  <c r="N75" i="2"/>
  <c r="M75" i="2"/>
  <c r="O75" i="2" s="1"/>
  <c r="S74" i="2"/>
  <c r="R74" i="2"/>
  <c r="Q74" i="2"/>
  <c r="P74" i="2"/>
  <c r="N74" i="2"/>
  <c r="O74" i="2" s="1"/>
  <c r="M74" i="2"/>
  <c r="S73" i="2"/>
  <c r="R73" i="2"/>
  <c r="Q73" i="2"/>
  <c r="P73" i="2"/>
  <c r="O73" i="2"/>
  <c r="N73" i="2"/>
  <c r="M73" i="2"/>
  <c r="S72" i="2"/>
  <c r="R72" i="2"/>
  <c r="Q72" i="2"/>
  <c r="P72" i="2"/>
  <c r="N72" i="2"/>
  <c r="M72" i="2"/>
  <c r="O72" i="2" s="1"/>
  <c r="S71" i="2"/>
  <c r="R71" i="2"/>
  <c r="Q71" i="2"/>
  <c r="P71" i="2"/>
  <c r="O71" i="2"/>
  <c r="N71" i="2"/>
  <c r="M71" i="2"/>
  <c r="S70" i="2"/>
  <c r="R70" i="2"/>
  <c r="Q70" i="2"/>
  <c r="P70" i="2"/>
  <c r="O70" i="2"/>
  <c r="N70" i="2"/>
  <c r="M70" i="2"/>
  <c r="S69" i="2"/>
  <c r="R69" i="2"/>
  <c r="Q69" i="2"/>
  <c r="P69" i="2"/>
  <c r="N69" i="2"/>
  <c r="M69" i="2"/>
  <c r="O69" i="2" s="1"/>
  <c r="S68" i="2"/>
  <c r="R68" i="2"/>
  <c r="Q68" i="2"/>
  <c r="P68" i="2"/>
  <c r="O68" i="2"/>
  <c r="N68" i="2"/>
  <c r="M68" i="2"/>
  <c r="S67" i="2"/>
  <c r="R67" i="2"/>
  <c r="Q67" i="2"/>
  <c r="P67" i="2"/>
  <c r="O67" i="2"/>
  <c r="N67" i="2"/>
  <c r="M67" i="2"/>
  <c r="S66" i="2"/>
  <c r="R66" i="2"/>
  <c r="Q66" i="2"/>
  <c r="P66" i="2"/>
  <c r="N66" i="2"/>
  <c r="O66" i="2" s="1"/>
  <c r="M66" i="2"/>
  <c r="S65" i="2"/>
  <c r="R65" i="2"/>
  <c r="Q65" i="2"/>
  <c r="P65" i="2"/>
  <c r="N65" i="2"/>
  <c r="O65" i="2" s="1"/>
  <c r="M65" i="2"/>
  <c r="S64" i="2"/>
  <c r="R64" i="2"/>
  <c r="Q64" i="2"/>
  <c r="P64" i="2"/>
  <c r="N64" i="2"/>
  <c r="M64" i="2"/>
  <c r="O64" i="2" s="1"/>
  <c r="S63" i="2"/>
  <c r="R63" i="2"/>
  <c r="Q63" i="2"/>
  <c r="P63" i="2"/>
  <c r="N63" i="2"/>
  <c r="M63" i="2"/>
  <c r="O63" i="2" s="1"/>
  <c r="S62" i="2"/>
  <c r="R62" i="2"/>
  <c r="Q62" i="2"/>
  <c r="P62" i="2"/>
  <c r="N62" i="2"/>
  <c r="O62" i="2" s="1"/>
  <c r="M62" i="2"/>
  <c r="S61" i="2"/>
  <c r="R61" i="2"/>
  <c r="Q61" i="2"/>
  <c r="P61" i="2"/>
  <c r="O61" i="2"/>
  <c r="N61" i="2"/>
  <c r="M61" i="2"/>
  <c r="S60" i="2"/>
  <c r="R60" i="2"/>
  <c r="Q60" i="2"/>
  <c r="P60" i="2"/>
  <c r="N60" i="2"/>
  <c r="M60" i="2"/>
  <c r="O60" i="2" s="1"/>
  <c r="S59" i="2"/>
  <c r="R59" i="2"/>
  <c r="Q59" i="2"/>
  <c r="P59" i="2"/>
  <c r="O59" i="2"/>
  <c r="N59" i="2"/>
  <c r="M59" i="2"/>
  <c r="S58" i="2"/>
  <c r="R58" i="2"/>
  <c r="Q58" i="2"/>
  <c r="P58" i="2"/>
  <c r="O58" i="2"/>
  <c r="N58" i="2"/>
  <c r="M58" i="2"/>
  <c r="S57" i="2"/>
  <c r="R57" i="2"/>
  <c r="Q57" i="2"/>
  <c r="P57" i="2"/>
  <c r="N57" i="2"/>
  <c r="M57" i="2"/>
  <c r="O57" i="2" s="1"/>
  <c r="S56" i="2"/>
  <c r="R56" i="2"/>
  <c r="Q56" i="2"/>
  <c r="P56" i="2"/>
  <c r="O56" i="2"/>
  <c r="N56" i="2"/>
  <c r="M56" i="2"/>
  <c r="S55" i="2"/>
  <c r="R55" i="2"/>
  <c r="Q55" i="2"/>
  <c r="P55" i="2"/>
  <c r="O55" i="2"/>
  <c r="N55" i="2"/>
  <c r="M55" i="2"/>
  <c r="S54" i="2"/>
  <c r="R54" i="2"/>
  <c r="Q54" i="2"/>
  <c r="P54" i="2"/>
  <c r="O54" i="2"/>
  <c r="N54" i="2"/>
  <c r="M54" i="2"/>
  <c r="S53" i="2"/>
  <c r="R53" i="2"/>
  <c r="Q53" i="2"/>
  <c r="P53" i="2"/>
  <c r="N53" i="2"/>
  <c r="O53" i="2" s="1"/>
  <c r="M53" i="2"/>
  <c r="S52" i="2"/>
  <c r="R52" i="2"/>
  <c r="Q52" i="2"/>
  <c r="P52" i="2"/>
  <c r="N52" i="2"/>
  <c r="M52" i="2"/>
  <c r="O52" i="2" s="1"/>
  <c r="S51" i="2"/>
  <c r="R51" i="2"/>
  <c r="Q51" i="2"/>
  <c r="P51" i="2"/>
  <c r="N51" i="2"/>
  <c r="M51" i="2"/>
  <c r="O51" i="2" s="1"/>
  <c r="S50" i="2"/>
  <c r="R50" i="2"/>
  <c r="Q50" i="2"/>
  <c r="P50" i="2"/>
  <c r="N50" i="2"/>
  <c r="O50" i="2" s="1"/>
  <c r="M50" i="2"/>
  <c r="S49" i="2"/>
  <c r="R49" i="2"/>
  <c r="Q49" i="2"/>
  <c r="P49" i="2"/>
  <c r="N49" i="2"/>
  <c r="M49" i="2"/>
  <c r="O49" i="2" s="1"/>
  <c r="S48" i="2"/>
  <c r="R48" i="2"/>
  <c r="Q48" i="2"/>
  <c r="P48" i="2"/>
  <c r="N48" i="2"/>
  <c r="M48" i="2"/>
  <c r="O48" i="2" s="1"/>
  <c r="S47" i="2"/>
  <c r="R47" i="2"/>
  <c r="Q47" i="2"/>
  <c r="P47" i="2"/>
  <c r="O47" i="2"/>
  <c r="N47" i="2"/>
  <c r="M47" i="2"/>
  <c r="S46" i="2"/>
  <c r="R46" i="2"/>
  <c r="Q46" i="2"/>
  <c r="P46" i="2"/>
  <c r="O46" i="2"/>
  <c r="N46" i="2"/>
  <c r="M46" i="2"/>
  <c r="S45" i="2"/>
  <c r="R45" i="2"/>
  <c r="Q45" i="2"/>
  <c r="P45" i="2"/>
  <c r="O45" i="2"/>
  <c r="N45" i="2"/>
  <c r="M45" i="2"/>
  <c r="S44" i="2"/>
  <c r="R44" i="2"/>
  <c r="Q44" i="2"/>
  <c r="P44" i="2"/>
  <c r="O44" i="2"/>
  <c r="N44" i="2"/>
  <c r="M44" i="2"/>
  <c r="S43" i="2"/>
  <c r="R43" i="2"/>
  <c r="Q43" i="2"/>
  <c r="P43" i="2"/>
  <c r="O43" i="2"/>
  <c r="N43" i="2"/>
  <c r="M43" i="2"/>
  <c r="S42" i="2"/>
  <c r="R42" i="2"/>
  <c r="Q42" i="2"/>
  <c r="P42" i="2"/>
  <c r="O42" i="2"/>
  <c r="N42" i="2"/>
  <c r="M42" i="2"/>
  <c r="S41" i="2"/>
  <c r="R41" i="2"/>
  <c r="Q41" i="2"/>
  <c r="P41" i="2"/>
  <c r="N41" i="2"/>
  <c r="O41" i="2" s="1"/>
  <c r="M41" i="2"/>
  <c r="S40" i="2"/>
  <c r="R40" i="2"/>
  <c r="Q40" i="2"/>
  <c r="P40" i="2"/>
  <c r="N40" i="2"/>
  <c r="M40" i="2"/>
  <c r="O40" i="2" s="1"/>
  <c r="S39" i="2"/>
  <c r="R39" i="2"/>
  <c r="Q39" i="2"/>
  <c r="P39" i="2"/>
  <c r="N39" i="2"/>
  <c r="M39" i="2"/>
  <c r="O39" i="2" s="1"/>
  <c r="S38" i="2"/>
  <c r="R38" i="2"/>
  <c r="Q38" i="2"/>
  <c r="P38" i="2"/>
  <c r="N38" i="2"/>
  <c r="O38" i="2" s="1"/>
  <c r="M38" i="2"/>
  <c r="S37" i="2"/>
  <c r="R37" i="2"/>
  <c r="Q37" i="2"/>
  <c r="P37" i="2"/>
  <c r="N37" i="2"/>
  <c r="M37" i="2"/>
  <c r="O37" i="2" s="1"/>
  <c r="S36" i="2"/>
  <c r="R36" i="2"/>
  <c r="Q36" i="2"/>
  <c r="P36" i="2"/>
  <c r="N36" i="2"/>
  <c r="M36" i="2"/>
  <c r="O36" i="2" s="1"/>
  <c r="S35" i="2"/>
  <c r="R35" i="2"/>
  <c r="Q35" i="2"/>
  <c r="P35" i="2"/>
  <c r="O35" i="2"/>
  <c r="N35" i="2"/>
  <c r="M35" i="2"/>
  <c r="S34" i="2"/>
  <c r="R34" i="2"/>
  <c r="Q34" i="2"/>
  <c r="P34" i="2"/>
  <c r="O34" i="2"/>
  <c r="N34" i="2"/>
  <c r="M34" i="2"/>
  <c r="S33" i="2"/>
  <c r="R33" i="2"/>
  <c r="Q33" i="2"/>
  <c r="P33" i="2"/>
  <c r="N33" i="2"/>
  <c r="M33" i="2"/>
  <c r="O33" i="2" s="1"/>
  <c r="S32" i="2"/>
  <c r="R32" i="2"/>
  <c r="Q32" i="2"/>
  <c r="P32" i="2"/>
  <c r="N32" i="2"/>
  <c r="M32" i="2"/>
  <c r="O32" i="2" s="1"/>
  <c r="S31" i="2"/>
  <c r="R31" i="2"/>
  <c r="Q31" i="2"/>
  <c r="P31" i="2"/>
  <c r="O31" i="2"/>
  <c r="N31" i="2"/>
  <c r="M31" i="2"/>
  <c r="S30" i="2"/>
  <c r="R30" i="2"/>
  <c r="Q30" i="2"/>
  <c r="P30" i="2"/>
  <c r="N30" i="2"/>
  <c r="O30" i="2" s="1"/>
  <c r="M30" i="2"/>
  <c r="S29" i="2"/>
  <c r="R29" i="2"/>
  <c r="Q29" i="2"/>
  <c r="P29" i="2"/>
  <c r="N29" i="2"/>
  <c r="O29" i="2" s="1"/>
  <c r="M29" i="2"/>
  <c r="S28" i="2"/>
  <c r="R28" i="2"/>
  <c r="Q28" i="2"/>
  <c r="P28" i="2"/>
  <c r="N28" i="2"/>
  <c r="M28" i="2"/>
  <c r="O28" i="2" s="1"/>
  <c r="S27" i="2"/>
  <c r="R27" i="2"/>
  <c r="Q27" i="2"/>
  <c r="P27" i="2"/>
  <c r="N27" i="2"/>
  <c r="M27" i="2"/>
  <c r="O27" i="2" s="1"/>
  <c r="S26" i="2"/>
  <c r="R26" i="2"/>
  <c r="Q26" i="2"/>
  <c r="P26" i="2"/>
  <c r="N26" i="2"/>
  <c r="O26" i="2" s="1"/>
  <c r="M26" i="2"/>
  <c r="S25" i="2"/>
  <c r="R25" i="2"/>
  <c r="Q25" i="2"/>
  <c r="P25" i="2"/>
  <c r="N25" i="2"/>
  <c r="M25" i="2"/>
  <c r="O25" i="2" s="1"/>
  <c r="S24" i="2"/>
  <c r="R24" i="2"/>
  <c r="Q24" i="2"/>
  <c r="P24" i="2"/>
  <c r="N24" i="2"/>
  <c r="M24" i="2"/>
  <c r="O24" i="2" s="1"/>
  <c r="S23" i="2"/>
  <c r="R23" i="2"/>
  <c r="Q23" i="2"/>
  <c r="P23" i="2"/>
  <c r="O23" i="2"/>
  <c r="N23" i="2"/>
  <c r="M23" i="2"/>
  <c r="S22" i="2"/>
  <c r="R22" i="2"/>
  <c r="Q22" i="2"/>
  <c r="P22" i="2"/>
  <c r="O22" i="2"/>
  <c r="N22" i="2"/>
  <c r="M22" i="2"/>
  <c r="S21" i="2"/>
  <c r="R21" i="2"/>
  <c r="Q21" i="2"/>
  <c r="P21" i="2"/>
  <c r="O21" i="2"/>
  <c r="N21" i="2"/>
  <c r="M21" i="2"/>
  <c r="S20" i="2"/>
  <c r="R20" i="2"/>
  <c r="Q20" i="2"/>
  <c r="P20" i="2"/>
  <c r="O20" i="2"/>
  <c r="N20" i="2"/>
  <c r="M20" i="2"/>
  <c r="S19" i="2"/>
  <c r="R19" i="2"/>
  <c r="Q19" i="2"/>
  <c r="P19" i="2"/>
  <c r="O19" i="2"/>
  <c r="N19" i="2"/>
  <c r="M19" i="2"/>
  <c r="S18" i="2"/>
  <c r="R18" i="2"/>
  <c r="Q18" i="2"/>
  <c r="P18" i="2"/>
  <c r="N18" i="2"/>
  <c r="O18" i="2" s="1"/>
  <c r="M18" i="2"/>
  <c r="S17" i="2"/>
  <c r="R17" i="2"/>
  <c r="Q17" i="2"/>
  <c r="P17" i="2"/>
  <c r="N17" i="2"/>
  <c r="O17" i="2" s="1"/>
  <c r="M17" i="2"/>
  <c r="S16" i="2"/>
  <c r="R16" i="2"/>
  <c r="Q16" i="2"/>
  <c r="P16" i="2"/>
  <c r="N16" i="2"/>
  <c r="M16" i="2"/>
  <c r="O16" i="2" s="1"/>
  <c r="S15" i="2"/>
  <c r="R15" i="2"/>
  <c r="Q15" i="2"/>
  <c r="P15" i="2"/>
  <c r="N15" i="2"/>
  <c r="M15" i="2"/>
  <c r="O15" i="2" s="1"/>
  <c r="S14" i="2"/>
  <c r="R14" i="2"/>
  <c r="Q14" i="2"/>
  <c r="P14" i="2"/>
  <c r="N14" i="2"/>
  <c r="O14" i="2" s="1"/>
  <c r="M14" i="2"/>
  <c r="S13" i="2"/>
  <c r="R13" i="2"/>
  <c r="Q13" i="2"/>
  <c r="P13" i="2"/>
  <c r="N13" i="2"/>
  <c r="M13" i="2"/>
  <c r="O13" i="2" s="1"/>
  <c r="S12" i="2"/>
  <c r="R12" i="2"/>
  <c r="Q12" i="2"/>
  <c r="P12" i="2"/>
  <c r="N12" i="2"/>
  <c r="M12" i="2"/>
  <c r="O12" i="2" s="1"/>
  <c r="S11" i="2"/>
  <c r="R11" i="2"/>
  <c r="Q11" i="2"/>
  <c r="P11" i="2"/>
  <c r="O11" i="2"/>
  <c r="N11" i="2"/>
  <c r="S10" i="2"/>
  <c r="R10" i="2"/>
  <c r="Q10" i="2"/>
  <c r="P10" i="2"/>
  <c r="O10" i="2"/>
  <c r="N10" i="2"/>
  <c r="M10" i="2"/>
  <c r="S9" i="2"/>
  <c r="R9" i="2"/>
  <c r="Q9" i="2"/>
  <c r="P9" i="2"/>
  <c r="N9" i="2"/>
  <c r="M9" i="2"/>
  <c r="O9" i="2" s="1"/>
  <c r="S8" i="2"/>
  <c r="R8" i="2"/>
  <c r="Q8" i="2"/>
  <c r="P8" i="2"/>
  <c r="N8" i="2"/>
  <c r="M8" i="2"/>
  <c r="O8" i="2" s="1"/>
  <c r="S7" i="2"/>
  <c r="R7" i="2"/>
  <c r="Q7" i="2"/>
  <c r="P7" i="2"/>
  <c r="O7" i="2"/>
  <c r="N7" i="2"/>
  <c r="M7" i="2"/>
  <c r="S6" i="2"/>
  <c r="R6" i="2"/>
  <c r="Q6" i="2"/>
  <c r="P6" i="2"/>
  <c r="N6" i="2"/>
  <c r="O6" i="2" s="1"/>
  <c r="M6" i="2"/>
  <c r="S5" i="2"/>
  <c r="R5" i="2"/>
  <c r="Q5" i="2"/>
  <c r="P5" i="2"/>
  <c r="N5" i="2"/>
  <c r="O5" i="2" s="1"/>
  <c r="M5" i="2"/>
  <c r="S4" i="2"/>
  <c r="R4" i="2"/>
  <c r="Q4" i="2"/>
  <c r="P4" i="2"/>
  <c r="N4" i="2"/>
  <c r="M4" i="2"/>
  <c r="O4" i="2" s="1"/>
  <c r="S3" i="2"/>
  <c r="R3" i="2"/>
  <c r="Q3" i="2"/>
  <c r="P3" i="2"/>
  <c r="N3" i="2"/>
  <c r="M3" i="2"/>
  <c r="O3" i="2" s="1"/>
  <c r="S2" i="2"/>
  <c r="R2" i="2"/>
  <c r="Q2" i="2"/>
  <c r="P2" i="2"/>
  <c r="N2" i="2"/>
  <c r="O2" i="2" s="1"/>
  <c r="M2" i="2"/>
  <c r="K8" i="4"/>
  <c r="J8" i="4" l="1"/>
</calcChain>
</file>

<file path=xl/sharedStrings.xml><?xml version="1.0" encoding="utf-8"?>
<sst xmlns="http://schemas.openxmlformats.org/spreadsheetml/2006/main" count="10091" uniqueCount="642">
  <si>
    <t>Ticket_ID</t>
  </si>
  <si>
    <t>Created_Date</t>
  </si>
  <si>
    <t>Resolved_Date</t>
  </si>
  <si>
    <t>Priority</t>
  </si>
  <si>
    <t>Status</t>
  </si>
  <si>
    <t>Category</t>
  </si>
  <si>
    <t>Assignment_Group</t>
  </si>
  <si>
    <t>Assigned_Agent</t>
  </si>
  <si>
    <t>Location</t>
  </si>
  <si>
    <t>Channel</t>
  </si>
  <si>
    <t>Impact</t>
  </si>
  <si>
    <t>Urgency</t>
  </si>
  <si>
    <t>TCK-1001</t>
  </si>
  <si>
    <t>P4</t>
  </si>
  <si>
    <t>Closed</t>
  </si>
  <si>
    <t>Password Reset</t>
  </si>
  <si>
    <t>Security</t>
  </si>
  <si>
    <t>Makati</t>
  </si>
  <si>
    <t>Chat</t>
  </si>
  <si>
    <t>Low</t>
  </si>
  <si>
    <t>Medium</t>
  </si>
  <si>
    <t>TCK-1002</t>
  </si>
  <si>
    <t>Software Install</t>
  </si>
  <si>
    <t>Infrastructure</t>
  </si>
  <si>
    <t>Agent O</t>
  </si>
  <si>
    <t>Manila</t>
  </si>
  <si>
    <t>Portal</t>
  </si>
  <si>
    <t>TCK-1003</t>
  </si>
  <si>
    <t>P1</t>
  </si>
  <si>
    <t>Resolved</t>
  </si>
  <si>
    <t>Email Issue</t>
  </si>
  <si>
    <t>Network</t>
  </si>
  <si>
    <t>Agent G</t>
  </si>
  <si>
    <t>Davao</t>
  </si>
  <si>
    <t>Phone</t>
  </si>
  <si>
    <t>TCK-1004</t>
  </si>
  <si>
    <t>Login Issue</t>
  </si>
  <si>
    <t>Agent K</t>
  </si>
  <si>
    <t>Cebu</t>
  </si>
  <si>
    <t>High</t>
  </si>
  <si>
    <t>TCK-1005</t>
  </si>
  <si>
    <t>Access Request</t>
  </si>
  <si>
    <t>Applications</t>
  </si>
  <si>
    <t>Agent M</t>
  </si>
  <si>
    <t>TCK-1006</t>
  </si>
  <si>
    <t>P3</t>
  </si>
  <si>
    <t>Agent D</t>
  </si>
  <si>
    <t>Iloilo</t>
  </si>
  <si>
    <t>TCK-1007</t>
  </si>
  <si>
    <t>P2</t>
  </si>
  <si>
    <t>Hardware Failure</t>
  </si>
  <si>
    <t>Agent R</t>
  </si>
  <si>
    <t>Clark</t>
  </si>
  <si>
    <t>TCK-1008</t>
  </si>
  <si>
    <t>VPN Issue</t>
  </si>
  <si>
    <t>Service Desk</t>
  </si>
  <si>
    <t>Agent C</t>
  </si>
  <si>
    <t>TCK-1009</t>
  </si>
  <si>
    <t>In Progress</t>
  </si>
  <si>
    <t>Agent H</t>
  </si>
  <si>
    <t>Email</t>
  </si>
  <si>
    <t>TCK-1010</t>
  </si>
  <si>
    <t>Agent I</t>
  </si>
  <si>
    <t>TCK-1011</t>
  </si>
  <si>
    <t xml:space="preserve"> Login Issue</t>
  </si>
  <si>
    <t>TCK-1012</t>
  </si>
  <si>
    <t>Network Issue</t>
  </si>
  <si>
    <t>TCK-1013</t>
  </si>
  <si>
    <t>TCK-1014</t>
  </si>
  <si>
    <t>BGC</t>
  </si>
  <si>
    <t>TCK-1015</t>
  </si>
  <si>
    <t>TCK-1016</t>
  </si>
  <si>
    <t>TCK-1017</t>
  </si>
  <si>
    <t>Agent B</t>
  </si>
  <si>
    <t>TCK-1018</t>
  </si>
  <si>
    <t>TCK-1019</t>
  </si>
  <si>
    <t>Open</t>
  </si>
  <si>
    <t>Agent N</t>
  </si>
  <si>
    <t>TCK-1020</t>
  </si>
  <si>
    <t>Agent F</t>
  </si>
  <si>
    <t>TCK-1021</t>
  </si>
  <si>
    <t>TCK-1022</t>
  </si>
  <si>
    <t>TCK-1023</t>
  </si>
  <si>
    <t>TCK-1024</t>
  </si>
  <si>
    <t>TCK-1025</t>
  </si>
  <si>
    <t>resolved</t>
  </si>
  <si>
    <t>TCK-1026</t>
  </si>
  <si>
    <t>TCK-1027</t>
  </si>
  <si>
    <t>RESOLVED</t>
  </si>
  <si>
    <t>TCK-1028</t>
  </si>
  <si>
    <t>TCK-1029</t>
  </si>
  <si>
    <t xml:space="preserve">Software Install </t>
  </si>
  <si>
    <t>Agent L</t>
  </si>
  <si>
    <t>TCK-1030</t>
  </si>
  <si>
    <t>TCK-1031</t>
  </si>
  <si>
    <t>Agent A</t>
  </si>
  <si>
    <t>TCK-1032</t>
  </si>
  <si>
    <t>TCK-1033</t>
  </si>
  <si>
    <t>IN PROGRESS</t>
  </si>
  <si>
    <t>TCK-1034</t>
  </si>
  <si>
    <t>TCK-1035</t>
  </si>
  <si>
    <t>TCK-1036</t>
  </si>
  <si>
    <t>TCK-1037</t>
  </si>
  <si>
    <t>Passwrod Reset</t>
  </si>
  <si>
    <t>TCK-1038</t>
  </si>
  <si>
    <t>TCK-1039</t>
  </si>
  <si>
    <t>Agent J</t>
  </si>
  <si>
    <t>TCK-1040</t>
  </si>
  <si>
    <t>TCK-1041</t>
  </si>
  <si>
    <t>TCK-1042</t>
  </si>
  <si>
    <t>Agent E</t>
  </si>
  <si>
    <t>TCK-1043</t>
  </si>
  <si>
    <t>TCK-1044</t>
  </si>
  <si>
    <t>TCK-1045</t>
  </si>
  <si>
    <t>TCK-1046</t>
  </si>
  <si>
    <t>TCK-1047</t>
  </si>
  <si>
    <t>TCK-1048</t>
  </si>
  <si>
    <t>TCK-1049</t>
  </si>
  <si>
    <t>TCK-1050</t>
  </si>
  <si>
    <t>TCK-1051</t>
  </si>
  <si>
    <t>TCK-1052</t>
  </si>
  <si>
    <t>TCK-1053</t>
  </si>
  <si>
    <t>TCK-1054</t>
  </si>
  <si>
    <t>TCK-1055</t>
  </si>
  <si>
    <t>TCK-1056</t>
  </si>
  <si>
    <t>TCK-1057</t>
  </si>
  <si>
    <t>TCK-1058</t>
  </si>
  <si>
    <t>TCK-1059</t>
  </si>
  <si>
    <t>Agent Q</t>
  </si>
  <si>
    <t>TCK-1060</t>
  </si>
  <si>
    <t>TCK-1061</t>
  </si>
  <si>
    <t>TCK-1062</t>
  </si>
  <si>
    <t>TCK-1063</t>
  </si>
  <si>
    <t>TCK-1064</t>
  </si>
  <si>
    <t>Agent S</t>
  </si>
  <si>
    <t>TCK-1065</t>
  </si>
  <si>
    <t>Agent T</t>
  </si>
  <si>
    <t>TCK-1066</t>
  </si>
  <si>
    <t>TCK-1067</t>
  </si>
  <si>
    <t>TCK-1068</t>
  </si>
  <si>
    <t>TCK-1069</t>
  </si>
  <si>
    <t>TCK-1070</t>
  </si>
  <si>
    <t>TCK-1071</t>
  </si>
  <si>
    <t>TCK-1072</t>
  </si>
  <si>
    <t xml:space="preserve">Email Issue </t>
  </si>
  <si>
    <t>TCK-1073</t>
  </si>
  <si>
    <t>TCK-1074</t>
  </si>
  <si>
    <t>TCK-1075</t>
  </si>
  <si>
    <t>TCK-1076</t>
  </si>
  <si>
    <t>TCK-1077</t>
  </si>
  <si>
    <t>TCK-1078</t>
  </si>
  <si>
    <t>Agent P</t>
  </si>
  <si>
    <t>TCK-1079</t>
  </si>
  <si>
    <t>TCK-1080</t>
  </si>
  <si>
    <t>TCK-1081</t>
  </si>
  <si>
    <t>TCK-1082</t>
  </si>
  <si>
    <t>TCK-1083</t>
  </si>
  <si>
    <t>TCK-1084</t>
  </si>
  <si>
    <t>TCK-1085</t>
  </si>
  <si>
    <t>TCK-1086</t>
  </si>
  <si>
    <t>TCK-1087</t>
  </si>
  <si>
    <t>TCK-1088</t>
  </si>
  <si>
    <t>TCK-1089</t>
  </si>
  <si>
    <t>TCK-1090</t>
  </si>
  <si>
    <t>TCK-1091</t>
  </si>
  <si>
    <t>TCK-1092</t>
  </si>
  <si>
    <t>TCK-1093</t>
  </si>
  <si>
    <t>open</t>
  </si>
  <si>
    <t>TCK-1094</t>
  </si>
  <si>
    <t>TCK-1095</t>
  </si>
  <si>
    <t>TCK-1096</t>
  </si>
  <si>
    <t>closed</t>
  </si>
  <si>
    <t>TCK-1097</t>
  </si>
  <si>
    <t>TCK-1098</t>
  </si>
  <si>
    <t>TCK-1099</t>
  </si>
  <si>
    <t>TCK-1100</t>
  </si>
  <si>
    <t>TCK-1101</t>
  </si>
  <si>
    <t>TCK-1102</t>
  </si>
  <si>
    <t>TCK-1103</t>
  </si>
  <si>
    <t>TCK-1104</t>
  </si>
  <si>
    <t>TCK-1105</t>
  </si>
  <si>
    <t>TCK-1106</t>
  </si>
  <si>
    <t>TCK-1107</t>
  </si>
  <si>
    <t>TCK-1108</t>
  </si>
  <si>
    <t>TCK-1109</t>
  </si>
  <si>
    <t>TCK-1110</t>
  </si>
  <si>
    <t>TCK-1111</t>
  </si>
  <si>
    <t>TCK-1112</t>
  </si>
  <si>
    <t>TCK-1113</t>
  </si>
  <si>
    <t>TCK-1114</t>
  </si>
  <si>
    <t>TCK-1115</t>
  </si>
  <si>
    <t>TCK-1116</t>
  </si>
  <si>
    <t>TCK-1117</t>
  </si>
  <si>
    <t>TCK-1118</t>
  </si>
  <si>
    <t>TCK-1119</t>
  </si>
  <si>
    <t>in progress</t>
  </si>
  <si>
    <t>TCK-1120</t>
  </si>
  <si>
    <t>TCK-1121</t>
  </si>
  <si>
    <t>TCK-1122</t>
  </si>
  <si>
    <t>TCK-1123</t>
  </si>
  <si>
    <t>TCK-1124</t>
  </si>
  <si>
    <t>TCK-1125</t>
  </si>
  <si>
    <t>TCK-1126</t>
  </si>
  <si>
    <t>TCK-1127</t>
  </si>
  <si>
    <t>TCK-1128</t>
  </si>
  <si>
    <t>TCK-1129</t>
  </si>
  <si>
    <t>TCK-1130</t>
  </si>
  <si>
    <t>TCK-1131</t>
  </si>
  <si>
    <t>TCK-1132</t>
  </si>
  <si>
    <t>TCK-1133</t>
  </si>
  <si>
    <t xml:space="preserve">VPN Issue </t>
  </si>
  <si>
    <t>TCK-1134</t>
  </si>
  <si>
    <t>TCK-1135</t>
  </si>
  <si>
    <t>TCK-1136</t>
  </si>
  <si>
    <t>TCK-1137</t>
  </si>
  <si>
    <t>TCK-1138</t>
  </si>
  <si>
    <t>TCK-1139</t>
  </si>
  <si>
    <t>TCK-1140</t>
  </si>
  <si>
    <t>TCK-1141</t>
  </si>
  <si>
    <t>TCK-1142</t>
  </si>
  <si>
    <t>TCK-1143</t>
  </si>
  <si>
    <t>TCK-1144</t>
  </si>
  <si>
    <t>TCK-1145</t>
  </si>
  <si>
    <t>TCK-1146</t>
  </si>
  <si>
    <t>TCK-1147</t>
  </si>
  <si>
    <t>TCK-1148</t>
  </si>
  <si>
    <t>TCK-1149</t>
  </si>
  <si>
    <t>TCK-1150</t>
  </si>
  <si>
    <t xml:space="preserve"> Software Install</t>
  </si>
  <si>
    <t>TCK-1151</t>
  </si>
  <si>
    <t>TCK-1152</t>
  </si>
  <si>
    <t>TCK-1153</t>
  </si>
  <si>
    <t>TCK-1154</t>
  </si>
  <si>
    <t>TCK-1155</t>
  </si>
  <si>
    <t>TCK-1156</t>
  </si>
  <si>
    <t>TCK-1157</t>
  </si>
  <si>
    <t>TCK-1158</t>
  </si>
  <si>
    <t xml:space="preserve"> Access Request</t>
  </si>
  <si>
    <t>TCK-1159</t>
  </si>
  <si>
    <t>TCK-1160</t>
  </si>
  <si>
    <t>TCK-1161</t>
  </si>
  <si>
    <t>TCK-1162</t>
  </si>
  <si>
    <t>TCK-1163</t>
  </si>
  <si>
    <t>TCK-1164</t>
  </si>
  <si>
    <t>TCK-1165</t>
  </si>
  <si>
    <t>TCK-1166</t>
  </si>
  <si>
    <t>TCK-1167</t>
  </si>
  <si>
    <t>TCK-1168</t>
  </si>
  <si>
    <t>TCK-1169</t>
  </si>
  <si>
    <t>TCK-1170</t>
  </si>
  <si>
    <t>TCK-1171</t>
  </si>
  <si>
    <t>TCK-1172</t>
  </si>
  <si>
    <t>TCK-1174</t>
  </si>
  <si>
    <t>TCK-1175</t>
  </si>
  <si>
    <t>TCK-1176</t>
  </si>
  <si>
    <t>TCK-1178</t>
  </si>
  <si>
    <t>TCK-1179</t>
  </si>
  <si>
    <t>TCK-1180</t>
  </si>
  <si>
    <t>TCK-1181</t>
  </si>
  <si>
    <t>TCK-1182</t>
  </si>
  <si>
    <t>TCK-1183</t>
  </si>
  <si>
    <t>TCK-1184</t>
  </si>
  <si>
    <t>TCK-1185</t>
  </si>
  <si>
    <t>TCK-1186</t>
  </si>
  <si>
    <t>TCK-1187</t>
  </si>
  <si>
    <t xml:space="preserve">Hardware Failure </t>
  </si>
  <si>
    <t>TCK-1188</t>
  </si>
  <si>
    <t>TCK-1189</t>
  </si>
  <si>
    <t>TCK-1190</t>
  </si>
  <si>
    <t>TCK-1191</t>
  </si>
  <si>
    <t>TCK-1192</t>
  </si>
  <si>
    <t>TCK-1193</t>
  </si>
  <si>
    <t>TCK-1194</t>
  </si>
  <si>
    <t>TCK-1195</t>
  </si>
  <si>
    <t>TCK-1196</t>
  </si>
  <si>
    <t>TCK-1197</t>
  </si>
  <si>
    <t>TCK-1198</t>
  </si>
  <si>
    <t>TCK-1199</t>
  </si>
  <si>
    <t>TCK-1200</t>
  </si>
  <si>
    <t>TCK-1201</t>
  </si>
  <si>
    <t>TCK-1202</t>
  </si>
  <si>
    <t>TCK-1203</t>
  </si>
  <si>
    <t>TCK-1204</t>
  </si>
  <si>
    <t>TCK-1205</t>
  </si>
  <si>
    <t>TCK-1206</t>
  </si>
  <si>
    <t>TCK-1207</t>
  </si>
  <si>
    <t>TCK-1208</t>
  </si>
  <si>
    <t>TCK-1209</t>
  </si>
  <si>
    <t>TCK-1210</t>
  </si>
  <si>
    <t>TCK-1211</t>
  </si>
  <si>
    <t>TCK-1212</t>
  </si>
  <si>
    <t>TCK-1213</t>
  </si>
  <si>
    <t>TCK-1214</t>
  </si>
  <si>
    <t>TCK-1215</t>
  </si>
  <si>
    <t>TCK-1216</t>
  </si>
  <si>
    <t>TCK-1217</t>
  </si>
  <si>
    <t>TCK-1218</t>
  </si>
  <si>
    <t xml:space="preserve"> Network Issue</t>
  </si>
  <si>
    <t>TCK-1219</t>
  </si>
  <si>
    <t>TCK-1220</t>
  </si>
  <si>
    <t>TCK-1221</t>
  </si>
  <si>
    <t xml:space="preserve">Access Request </t>
  </si>
  <si>
    <t>TCK-1222</t>
  </si>
  <si>
    <t>TCK-1223</t>
  </si>
  <si>
    <t>TCK-1224</t>
  </si>
  <si>
    <t xml:space="preserve">Network Issue </t>
  </si>
  <si>
    <t>TCK-1225</t>
  </si>
  <si>
    <t>TCK-1226</t>
  </si>
  <si>
    <t>TCK-1227</t>
  </si>
  <si>
    <t>TCK-1228</t>
  </si>
  <si>
    <t>TCK-1229</t>
  </si>
  <si>
    <t>TCK-1230</t>
  </si>
  <si>
    <t>TCK-1231</t>
  </si>
  <si>
    <t>TCK-1232</t>
  </si>
  <si>
    <t>TCK-1233</t>
  </si>
  <si>
    <t>TCK-1234</t>
  </si>
  <si>
    <t>TCK-1235</t>
  </si>
  <si>
    <t>TCK-1236</t>
  </si>
  <si>
    <t>TCK-1237</t>
  </si>
  <si>
    <t>TCK-1238</t>
  </si>
  <si>
    <t>TCK-1239</t>
  </si>
  <si>
    <t>TCK-1240</t>
  </si>
  <si>
    <t>TCK-1241</t>
  </si>
  <si>
    <t>TCK-1242</t>
  </si>
  <si>
    <t>TCK-1243</t>
  </si>
  <si>
    <t>TCK-1244</t>
  </si>
  <si>
    <t>TCK-1245</t>
  </si>
  <si>
    <t>TCK-1246</t>
  </si>
  <si>
    <t>TCK-1247</t>
  </si>
  <si>
    <t>TCK-1248</t>
  </si>
  <si>
    <t>TCK-1249</t>
  </si>
  <si>
    <t>TCK-1250</t>
  </si>
  <si>
    <t>TCK-1251</t>
  </si>
  <si>
    <t>TCK-1252</t>
  </si>
  <si>
    <t>TCK-1253</t>
  </si>
  <si>
    <t>TCK-1254</t>
  </si>
  <si>
    <t>TCK-1255</t>
  </si>
  <si>
    <t>TCK-1256</t>
  </si>
  <si>
    <t>TCK-1257</t>
  </si>
  <si>
    <t>TCK-1258</t>
  </si>
  <si>
    <t>TCK-1259</t>
  </si>
  <si>
    <t>TCK-1260</t>
  </si>
  <si>
    <t>TCK-1261</t>
  </si>
  <si>
    <t>TCK-1262</t>
  </si>
  <si>
    <t>TCK-1263</t>
  </si>
  <si>
    <t>TCK-1264</t>
  </si>
  <si>
    <t>TCK-1265</t>
  </si>
  <si>
    <t>TCK-1266</t>
  </si>
  <si>
    <t>TCK-1267</t>
  </si>
  <si>
    <t>TCK-1268</t>
  </si>
  <si>
    <t>TCK-1269</t>
  </si>
  <si>
    <t>TCK-1270</t>
  </si>
  <si>
    <t>TCK-1271</t>
  </si>
  <si>
    <t>TCK-1272</t>
  </si>
  <si>
    <t>TCK-1273</t>
  </si>
  <si>
    <t>TCK-1274</t>
  </si>
  <si>
    <t>TCK-1275</t>
  </si>
  <si>
    <t>TCK-1276</t>
  </si>
  <si>
    <t>TCK-1277</t>
  </si>
  <si>
    <t>TCK-1278</t>
  </si>
  <si>
    <t>TCK-1279</t>
  </si>
  <si>
    <t>TCK-1280</t>
  </si>
  <si>
    <t>TCK-1281</t>
  </si>
  <si>
    <t>TCK-1282</t>
  </si>
  <si>
    <t>TCK-1283</t>
  </si>
  <si>
    <t>TCK-1285</t>
  </si>
  <si>
    <t>TCK-1286</t>
  </si>
  <si>
    <t>TCK-1287</t>
  </si>
  <si>
    <t>TCK-1288</t>
  </si>
  <si>
    <t>TCK-1290</t>
  </si>
  <si>
    <t>TCK-1291</t>
  </si>
  <si>
    <t>TCK-1292</t>
  </si>
  <si>
    <t>TCK-1293</t>
  </si>
  <si>
    <t>TCK-1294</t>
  </si>
  <si>
    <t>TCK-1295</t>
  </si>
  <si>
    <t>TCK-1296</t>
  </si>
  <si>
    <t>TCK-1297</t>
  </si>
  <si>
    <t>TCK-1298</t>
  </si>
  <si>
    <t>TCK-1299</t>
  </si>
  <si>
    <t>TCK-1300</t>
  </si>
  <si>
    <t>TCK-1301</t>
  </si>
  <si>
    <t>TCK-1302</t>
  </si>
  <si>
    <t>TCK-1303</t>
  </si>
  <si>
    <t>TCK-1304</t>
  </si>
  <si>
    <t>TCK-1305</t>
  </si>
  <si>
    <t>TCK-1306</t>
  </si>
  <si>
    <t>TCK-1307</t>
  </si>
  <si>
    <t>TCK-1308</t>
  </si>
  <si>
    <t>TCK-1309</t>
  </si>
  <si>
    <t>CLOSED</t>
  </si>
  <si>
    <t>TCK-1310</t>
  </si>
  <si>
    <t>TCK-1311</t>
  </si>
  <si>
    <t>TCK-1312</t>
  </si>
  <si>
    <t>TCK-1313</t>
  </si>
  <si>
    <t>TCK-1314</t>
  </si>
  <si>
    <t xml:space="preserve">Password Reset </t>
  </si>
  <si>
    <t>TCK-1315</t>
  </si>
  <si>
    <t>TCK-1316</t>
  </si>
  <si>
    <t>TCK-1317</t>
  </si>
  <si>
    <t>TCK-1318</t>
  </si>
  <si>
    <t>TCK-1319</t>
  </si>
  <si>
    <t>TCK-1320</t>
  </si>
  <si>
    <t>TCK-1321</t>
  </si>
  <si>
    <t>TCK-1322</t>
  </si>
  <si>
    <t>TCK-1323</t>
  </si>
  <si>
    <t>TCK-1324</t>
  </si>
  <si>
    <t>TCK-1325</t>
  </si>
  <si>
    <t>TCK-1326</t>
  </si>
  <si>
    <t>TCK-1327</t>
  </si>
  <si>
    <t>TCK-1328</t>
  </si>
  <si>
    <t>TCK-1329</t>
  </si>
  <si>
    <t>TCK-1330</t>
  </si>
  <si>
    <t>TCK-1332</t>
  </si>
  <si>
    <t>TCK-1333</t>
  </si>
  <si>
    <t>TCK-1334</t>
  </si>
  <si>
    <t>TCK-1335</t>
  </si>
  <si>
    <t>TCK-1336</t>
  </si>
  <si>
    <t>TCK-1337</t>
  </si>
  <si>
    <t>TCK-1338</t>
  </si>
  <si>
    <t>TCK-1339</t>
  </si>
  <si>
    <t>TCK-1340</t>
  </si>
  <si>
    <t>TCK-1341</t>
  </si>
  <si>
    <t>TCK-1342</t>
  </si>
  <si>
    <t>TCK-1343</t>
  </si>
  <si>
    <t>TCK-1344</t>
  </si>
  <si>
    <t>TCK-1345</t>
  </si>
  <si>
    <t>TCK-1346</t>
  </si>
  <si>
    <t>TCK-1347</t>
  </si>
  <si>
    <t>TCK-1349</t>
  </si>
  <si>
    <t>OPEN</t>
  </si>
  <si>
    <t>TCK-1350</t>
  </si>
  <si>
    <t>TCK-1351</t>
  </si>
  <si>
    <t>TCK-1352</t>
  </si>
  <si>
    <t>TCK-1353</t>
  </si>
  <si>
    <t>TCK-1354</t>
  </si>
  <si>
    <t>TCK-1355</t>
  </si>
  <si>
    <t>TCK-1356</t>
  </si>
  <si>
    <t>TCK-1357</t>
  </si>
  <si>
    <t>TCK-1358</t>
  </si>
  <si>
    <t>TCK-1359</t>
  </si>
  <si>
    <t>TCK-1360</t>
  </si>
  <si>
    <t>TCK-1361</t>
  </si>
  <si>
    <t>TCK-1362</t>
  </si>
  <si>
    <t>TCK-1363</t>
  </si>
  <si>
    <t>TCK-1364</t>
  </si>
  <si>
    <t>TCK-1365</t>
  </si>
  <si>
    <t>TCK-1366</t>
  </si>
  <si>
    <t>TCK-1367</t>
  </si>
  <si>
    <t xml:space="preserve"> VPN Issue</t>
  </si>
  <si>
    <t>TCK-1368</t>
  </si>
  <si>
    <t>TCK-1369</t>
  </si>
  <si>
    <t>TCK-1370</t>
  </si>
  <si>
    <t>TCK-1371</t>
  </si>
  <si>
    <t>TCK-1372</t>
  </si>
  <si>
    <t>TCK-1373</t>
  </si>
  <si>
    <t>TCK-1374</t>
  </si>
  <si>
    <t>TCK-1375</t>
  </si>
  <si>
    <t>TCK-1376</t>
  </si>
  <si>
    <t>TCK-1377</t>
  </si>
  <si>
    <t>TCK-1378</t>
  </si>
  <si>
    <t>TCK-1379</t>
  </si>
  <si>
    <t>TCK-1380</t>
  </si>
  <si>
    <t>TCK-1381</t>
  </si>
  <si>
    <t>TCK-1382</t>
  </si>
  <si>
    <t>TCK-1383</t>
  </si>
  <si>
    <t>TCK-1384</t>
  </si>
  <si>
    <t>TCK-1385</t>
  </si>
  <si>
    <t>TCK-1386</t>
  </si>
  <si>
    <t>TCK-1387</t>
  </si>
  <si>
    <t>TCK-1388</t>
  </si>
  <si>
    <t>TCK-1389</t>
  </si>
  <si>
    <t>TCK-1390</t>
  </si>
  <si>
    <t>TCK-1391</t>
  </si>
  <si>
    <t>TCK-1392</t>
  </si>
  <si>
    <t>TCK-1393</t>
  </si>
  <si>
    <t>TCK-1394</t>
  </si>
  <si>
    <t>TCK-1396</t>
  </si>
  <si>
    <t>TCK-1397</t>
  </si>
  <si>
    <t>TCK-1398</t>
  </si>
  <si>
    <t>TCK-1399</t>
  </si>
  <si>
    <t>TCK-1400</t>
  </si>
  <si>
    <t>TCK-1401</t>
  </si>
  <si>
    <t>TCK-1402</t>
  </si>
  <si>
    <t>TCK-1403</t>
  </si>
  <si>
    <t>TCK-1404</t>
  </si>
  <si>
    <t>TCK-1405</t>
  </si>
  <si>
    <t>TCK-1406</t>
  </si>
  <si>
    <t>TCK-1407</t>
  </si>
  <si>
    <t>TCK-1408</t>
  </si>
  <si>
    <t>TCK-1409</t>
  </si>
  <si>
    <t>TCK-1410</t>
  </si>
  <si>
    <t>TCK-1411</t>
  </si>
  <si>
    <t>TCK-1412</t>
  </si>
  <si>
    <t>TCK-1413</t>
  </si>
  <si>
    <t xml:space="preserve">Login Issue </t>
  </si>
  <si>
    <t>TCK-1414</t>
  </si>
  <si>
    <t>TCK-1415</t>
  </si>
  <si>
    <t>TCK-1416</t>
  </si>
  <si>
    <t>TCK-1417</t>
  </si>
  <si>
    <t>TCK-1418</t>
  </si>
  <si>
    <t>TCK-1419</t>
  </si>
  <si>
    <t>TCK-1420</t>
  </si>
  <si>
    <t>TCK-1421</t>
  </si>
  <si>
    <t>TCK-1422</t>
  </si>
  <si>
    <t>TCK-1423</t>
  </si>
  <si>
    <t xml:space="preserve"> Email Issue</t>
  </si>
  <si>
    <t>TCK-1424</t>
  </si>
  <si>
    <t>TCK-1425</t>
  </si>
  <si>
    <t>TCK-1426</t>
  </si>
  <si>
    <t>TCK-1427</t>
  </si>
  <si>
    <t>TCK-1428</t>
  </si>
  <si>
    <t>TCK-1429</t>
  </si>
  <si>
    <t>TCK-1430</t>
  </si>
  <si>
    <t>TCK-1431</t>
  </si>
  <si>
    <t>TCK-1432</t>
  </si>
  <si>
    <t>TCK-1433</t>
  </si>
  <si>
    <t>TCK-1434</t>
  </si>
  <si>
    <t>TCK-1435</t>
  </si>
  <si>
    <t>TCK-1436</t>
  </si>
  <si>
    <t>TCK-1437</t>
  </si>
  <si>
    <t>TCK-1438</t>
  </si>
  <si>
    <t>TCK-1439</t>
  </si>
  <si>
    <t>TCK-1440</t>
  </si>
  <si>
    <t>TCK-1441</t>
  </si>
  <si>
    <t>TCK-1442</t>
  </si>
  <si>
    <t>TCK-1443</t>
  </si>
  <si>
    <t>TCK-1444</t>
  </si>
  <si>
    <t>TCK-1445</t>
  </si>
  <si>
    <t>TCK-1446</t>
  </si>
  <si>
    <t>TCK-1447</t>
  </si>
  <si>
    <t>TCK-1448</t>
  </si>
  <si>
    <t>TCK-1449</t>
  </si>
  <si>
    <t>TCK-1450</t>
  </si>
  <si>
    <t>TCK-1451</t>
  </si>
  <si>
    <t>TCK-1452</t>
  </si>
  <si>
    <t>TCK-1453</t>
  </si>
  <si>
    <t>TCK-1454</t>
  </si>
  <si>
    <t>TCK-1455</t>
  </si>
  <si>
    <t>TCK-1456</t>
  </si>
  <si>
    <t>TCK-1457</t>
  </si>
  <si>
    <t>TCK-1458</t>
  </si>
  <si>
    <t>TCK-1459</t>
  </si>
  <si>
    <t>TCK-1460</t>
  </si>
  <si>
    <t>TCK-1461</t>
  </si>
  <si>
    <t>TCK-1462</t>
  </si>
  <si>
    <t xml:space="preserve"> Password Reset</t>
  </si>
  <si>
    <t>TCK-1463</t>
  </si>
  <si>
    <t>TCK-1464</t>
  </si>
  <si>
    <t>TCK-1465</t>
  </si>
  <si>
    <t>TCK-1466</t>
  </si>
  <si>
    <t>TCK-1467</t>
  </si>
  <si>
    <t>TCK-1468</t>
  </si>
  <si>
    <t>TCK-1469</t>
  </si>
  <si>
    <t>TCK-1470</t>
  </si>
  <si>
    <t>TCK-1471</t>
  </si>
  <si>
    <t>TCK-1472</t>
  </si>
  <si>
    <t>TCK-1473</t>
  </si>
  <si>
    <t>TCK-1474</t>
  </si>
  <si>
    <t>TCK-1475</t>
  </si>
  <si>
    <t>TCK-1476</t>
  </si>
  <si>
    <t>TCK-1477</t>
  </si>
  <si>
    <t>TCK-1478</t>
  </si>
  <si>
    <t>TCK-1479</t>
  </si>
  <si>
    <t>TCK-1480</t>
  </si>
  <si>
    <t>TCK-1481</t>
  </si>
  <si>
    <t>TCK-1482</t>
  </si>
  <si>
    <t>TCK-1483</t>
  </si>
  <si>
    <t>TCK-1484</t>
  </si>
  <si>
    <t>TCK-1485</t>
  </si>
  <si>
    <t>TCK-1486</t>
  </si>
  <si>
    <t>TCK-1487</t>
  </si>
  <si>
    <t>TCK-1488</t>
  </si>
  <si>
    <t>TCK-1489</t>
  </si>
  <si>
    <t>TCK-1490</t>
  </si>
  <si>
    <t>TCK-1491</t>
  </si>
  <si>
    <t>TCK-1492</t>
  </si>
  <si>
    <t>TCK-1493</t>
  </si>
  <si>
    <t>TCK-1494</t>
  </si>
  <si>
    <t>TCK-1495</t>
  </si>
  <si>
    <t>TCK-1496</t>
  </si>
  <si>
    <t>TCK-1497</t>
  </si>
  <si>
    <t>TCK-1498</t>
  </si>
  <si>
    <t>TCK-1499</t>
  </si>
  <si>
    <t>TCK-1500</t>
  </si>
  <si>
    <t>Resolution_Time (Days)</t>
  </si>
  <si>
    <t>SLA_Target(Days)</t>
  </si>
  <si>
    <t>SLA_Status</t>
  </si>
  <si>
    <t>Created_Month</t>
  </si>
  <si>
    <t>Created_Year</t>
  </si>
  <si>
    <t>Open/Closed</t>
  </si>
  <si>
    <t>Resolution_Month</t>
  </si>
  <si>
    <t>Unassigned</t>
  </si>
  <si>
    <t>Vpn Issue</t>
  </si>
  <si>
    <t>Pivot Table 1 – Ticket Volume by Priority</t>
  </si>
  <si>
    <t>Pivot Table 2 – Open vs. Closed Tickets</t>
  </si>
  <si>
    <t>Pivot Table 3 – Tickets by Category</t>
  </si>
  <si>
    <t>Pivot Table 4 – Tickets by Assignment Group</t>
  </si>
  <si>
    <t>Row Labels</t>
  </si>
  <si>
    <t>Count of Ticket_ID</t>
  </si>
  <si>
    <t>Grand Total</t>
  </si>
  <si>
    <t>Pivot Table 5 – SLA Performance</t>
  </si>
  <si>
    <t>Breached</t>
  </si>
  <si>
    <t>Met</t>
  </si>
  <si>
    <t>Pivot Table 6 – Monthly Ticket Trend</t>
  </si>
  <si>
    <t>Pivot Table 7 – Average Resolution Time</t>
  </si>
  <si>
    <t>Average of Resolution_Time (Days)</t>
  </si>
  <si>
    <t>Jan</t>
  </si>
  <si>
    <t>Feb</t>
  </si>
  <si>
    <t>Mar</t>
  </si>
  <si>
    <t>Apr</t>
  </si>
  <si>
    <t>May</t>
  </si>
  <si>
    <t>Jun</t>
  </si>
  <si>
    <t>Jul</t>
  </si>
  <si>
    <t>Aug</t>
  </si>
  <si>
    <t>Sep</t>
  </si>
  <si>
    <t>Oct</t>
  </si>
  <si>
    <t>Nov</t>
  </si>
  <si>
    <t>Dec</t>
  </si>
  <si>
    <t>IT Service Desk Performance Dashboard</t>
  </si>
  <si>
    <t>Reporting Period: January 2025 – December 2025</t>
  </si>
  <si>
    <t>Met Count</t>
  </si>
  <si>
    <t>Breached Count</t>
  </si>
  <si>
    <t>Total  Tickets</t>
  </si>
  <si>
    <t>Open Tickets</t>
  </si>
  <si>
    <t>Closed tickets</t>
  </si>
  <si>
    <t>SLA Compliance (%)</t>
  </si>
  <si>
    <t>Avg Resolution Time</t>
  </si>
  <si>
    <t>Data Cleaning Process</t>
  </si>
  <si>
    <t>1. Converted the Created Date and Resolved Date columns to a consistent date format (yyyy-mm-dd)</t>
  </si>
  <si>
    <t>2. Validated the Resolved Date column:</t>
  </si>
  <si>
    <t>A blank Resolved Date is acceptable if the ticket status is Open or In Progress.</t>
  </si>
  <si>
    <t>If the status is Resolved or Closed but the Resolved Date is blank, the record is considered invalid.</t>
  </si>
  <si>
    <t>3. Standardized text formatting by applying the TRIM() and PROPER() functions to columns E–L, except for Column I, since it contains acronym values that should remain unchanged.</t>
  </si>
  <si>
    <t>4. Replaced missing values in the Assigned Agent and Assignment Group column with "Unassigned".</t>
  </si>
  <si>
    <t>5. Corrected the misspelled category "Passwrod Reset" to "Password Reset" to ensure consistent category names.</t>
  </si>
  <si>
    <t xml:space="preserve"> </t>
  </si>
  <si>
    <t>Key Insights</t>
  </si>
  <si>
    <r>
      <t>1. VPN Issue</t>
    </r>
    <r>
      <rPr>
        <sz val="11"/>
        <color theme="1"/>
        <rFont val="Calibri"/>
        <family val="2"/>
        <scheme val="minor"/>
      </rPr>
      <t xml:space="preserve"> was the most common type of support request in the dataset.</t>
    </r>
  </si>
  <si>
    <r>
      <rPr>
        <b/>
        <sz val="11"/>
        <color theme="1"/>
        <rFont val="Calibri"/>
        <family val="2"/>
        <scheme val="minor"/>
      </rPr>
      <t>2.</t>
    </r>
    <r>
      <rPr>
        <sz val="11"/>
        <color theme="1"/>
        <rFont val="Calibri"/>
        <family val="2"/>
        <scheme val="minor"/>
      </rPr>
      <t xml:space="preserve"> The </t>
    </r>
    <r>
      <rPr>
        <b/>
        <sz val="11"/>
        <color theme="1"/>
        <rFont val="Calibri"/>
        <family val="2"/>
        <scheme val="minor"/>
      </rPr>
      <t>Service Desk</t>
    </r>
    <r>
      <rPr>
        <sz val="11"/>
        <color theme="1"/>
        <rFont val="Calibri"/>
        <family val="2"/>
        <scheme val="minor"/>
      </rPr>
      <t xml:space="preserve"> handled the largest share of tickets compared to the other assignment groups.</t>
    </r>
  </si>
  <si>
    <r>
      <rPr>
        <b/>
        <sz val="11"/>
        <color theme="1"/>
        <rFont val="Calibri"/>
        <family val="2"/>
        <scheme val="minor"/>
      </rPr>
      <t>3.</t>
    </r>
    <r>
      <rPr>
        <sz val="11"/>
        <color theme="1"/>
        <rFont val="Calibri"/>
        <family val="2"/>
        <scheme val="minor"/>
      </rPr>
      <t xml:space="preserve"> About </t>
    </r>
    <r>
      <rPr>
        <b/>
        <sz val="11"/>
        <color theme="1"/>
        <rFont val="Calibri"/>
        <family val="2"/>
        <scheme val="minor"/>
      </rPr>
      <t>86% of resolved tickets</t>
    </r>
    <r>
      <rPr>
        <sz val="11"/>
        <color theme="1"/>
        <rFont val="Calibri"/>
        <family val="2"/>
        <scheme val="minor"/>
      </rPr>
      <t xml:space="preserve"> met the required SLA, while the rest were resolved beyond the target time.</t>
    </r>
  </si>
  <si>
    <r>
      <t xml:space="preserve">4. On average, </t>
    </r>
    <r>
      <rPr>
        <b/>
        <sz val="11"/>
        <color theme="1"/>
        <rFont val="Calibri"/>
        <family val="2"/>
        <scheme val="minor"/>
      </rPr>
      <t>P1 and P2 tickets</t>
    </r>
    <r>
      <rPr>
        <sz val="11"/>
        <color theme="1"/>
        <rFont val="Calibri"/>
        <family val="2"/>
        <scheme val="minor"/>
      </rPr>
      <t xml:space="preserve"> were resolved faster than </t>
    </r>
    <r>
      <rPr>
        <b/>
        <sz val="11"/>
        <color theme="1"/>
        <rFont val="Calibri"/>
        <family val="2"/>
        <scheme val="minor"/>
      </rPr>
      <t>P3 and P4 tickets</t>
    </r>
    <r>
      <rPr>
        <sz val="11"/>
        <color theme="1"/>
        <rFont val="Calibri"/>
        <family val="2"/>
        <scheme val="minor"/>
      </rPr>
      <t>, showing that higher-priority issues were handled first.</t>
    </r>
  </si>
  <si>
    <r>
      <rPr>
        <b/>
        <sz val="11"/>
        <color theme="1"/>
        <rFont val="Calibri"/>
        <family val="2"/>
        <scheme val="minor"/>
      </rPr>
      <t xml:space="preserve">5. </t>
    </r>
    <r>
      <rPr>
        <sz val="11"/>
        <color theme="1"/>
        <rFont val="Calibri"/>
        <family val="2"/>
        <scheme val="minor"/>
      </rPr>
      <t>Monthly ticket counts remained relatively stable, with a slight increase during the middle of the year before declining toward the end of the reporting period.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</si>
</sst>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7" formatCode="yyyy\-mm\-dd"/>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sz val="9"/>
      <color theme="1"/>
      <name val="Calibri"/>
      <family val="2"/>
      <scheme val="minor"/>
    </font>
    <font>
      <sz val="8"/>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cellStyleXfs>
  <cellXfs count="22">
    <xf numFmtId="0" fontId="0" fillId="0" borderId="0" xfId="0"/>
    <xf numFmtId="164" fontId="0" fillId="0" borderId="0" xfId="0" applyNumberFormat="1"/>
    <xf numFmtId="0" fontId="3"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pivotButton="1"/>
    <xf numFmtId="0" fontId="0" fillId="0" borderId="0" xfId="0" applyAlignment="1">
      <alignment horizontal="left"/>
    </xf>
    <xf numFmtId="0" fontId="0" fillId="0" borderId="0" xfId="0"/>
    <xf numFmtId="0" fontId="2" fillId="0" borderId="0" xfId="0" applyFont="1"/>
    <xf numFmtId="2" fontId="0" fillId="0" borderId="0" xfId="0" applyNumberFormat="1"/>
    <xf numFmtId="0" fontId="6" fillId="0" borderId="0" xfId="0" applyFont="1"/>
    <xf numFmtId="10" fontId="0" fillId="0" borderId="0" xfId="1" applyNumberFormat="1" applyFont="1"/>
    <xf numFmtId="15" fontId="0" fillId="0" borderId="0" xfId="0" applyNumberFormat="1"/>
    <xf numFmtId="14" fontId="0" fillId="0" borderId="0" xfId="0" applyNumberFormat="1"/>
    <xf numFmtId="0" fontId="0" fillId="0" borderId="0" xfId="0"/>
    <xf numFmtId="0" fontId="0" fillId="0" borderId="0" xfId="0" applyNumberFormat="1"/>
    <xf numFmtId="0" fontId="0" fillId="0" borderId="0" xfId="0"/>
    <xf numFmtId="0" fontId="5" fillId="0" borderId="0" xfId="0" applyFont="1" applyAlignment="1">
      <alignment horizontal="center"/>
    </xf>
    <xf numFmtId="0" fontId="0" fillId="0" borderId="0" xfId="0"/>
    <xf numFmtId="0" fontId="4" fillId="0" borderId="0" xfId="0" applyFont="1" applyAlignment="1">
      <alignment horizontal="center"/>
    </xf>
    <xf numFmtId="0" fontId="7" fillId="0" borderId="0" xfId="0" applyFont="1" applyAlignment="1">
      <alignment horizontal="center"/>
    </xf>
    <xf numFmtId="167" fontId="0" fillId="0" borderId="0" xfId="0" applyNumberFormat="1"/>
  </cellXfs>
  <cellStyles count="2">
    <cellStyle name="Normal" xfId="0" builtinId="0"/>
    <cellStyle name="Percent" xfId="1" builtinId="5"/>
  </cellStyles>
  <dxfs count="2">
    <dxf>
      <numFmt numFmtId="164" formatCode="yyyy\-mm\-dd;@"/>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[IT_Service_Desk_Performance_Dashboard.xlsx]Pivot Tables!PivotTable2</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Ticket Volume by Priority</a:t>
            </a:r>
          </a:p>
        </c:rich>
      </c:tx>
      <c:layout>
        <c:manualLayout>
          <c:xMode val="edge"/>
          <c:yMode val="edge"/>
          <c:x val="0.22017583459986695"/>
          <c:y val="5.7643383392605205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Tables'!$B$4:$B$8</c:f>
              <c:strCache>
                <c:ptCount val="4"/>
                <c:pt idx="0">
                  <c:v>P4</c:v>
                </c:pt>
                <c:pt idx="1">
                  <c:v>P3</c:v>
                </c:pt>
                <c:pt idx="2">
                  <c:v>P2</c:v>
                </c:pt>
                <c:pt idx="3">
                  <c:v>P1</c:v>
                </c:pt>
              </c:strCache>
            </c:strRef>
          </c:cat>
          <c:val>
            <c:numRef>
              <c:f>'Pivot Tables'!$C$4:$C$8</c:f>
              <c:numCache>
                <c:formatCode>General</c:formatCode>
                <c:ptCount val="4"/>
                <c:pt idx="0">
                  <c:v>120</c:v>
                </c:pt>
                <c:pt idx="1">
                  <c:v>121</c:v>
                </c:pt>
                <c:pt idx="2">
                  <c:v>143</c:v>
                </c:pt>
                <c:pt idx="3">
                  <c:v>116</c:v>
                </c:pt>
              </c:numCache>
            </c:numRef>
          </c:val>
          <c:extLst>
            <c:ext xmlns:c16="http://schemas.microsoft.com/office/drawing/2014/chart" uri="{C3380CC4-5D6E-409C-BE32-E72D297353CC}">
              <c16:uniqueId val="{00000000-BA4D-4C12-A736-A3DEEE1ED779}"/>
            </c:ext>
          </c:extLst>
        </c:ser>
        <c:dLbls>
          <c:dLblPos val="outEnd"/>
          <c:showLegendKey val="0"/>
          <c:showVal val="1"/>
          <c:showCatName val="0"/>
          <c:showSerName val="0"/>
          <c:showPercent val="0"/>
          <c:showBubbleSize val="0"/>
        </c:dLbls>
        <c:gapWidth val="247"/>
        <c:axId val="331116080"/>
        <c:axId val="331116496"/>
      </c:barChart>
      <c:catAx>
        <c:axId val="3311160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31116496"/>
        <c:crosses val="autoZero"/>
        <c:auto val="1"/>
        <c:lblAlgn val="ctr"/>
        <c:lblOffset val="100"/>
        <c:noMultiLvlLbl val="0"/>
      </c:catAx>
      <c:valAx>
        <c:axId val="3311164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3111608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[IT_Service_Desk_Performance_Dashboard.xlsx]Pivot Tables!PivotTable8</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Ticket Trend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Tables'!$G$17</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Tables'!$F$18:$F$30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Tables'!$G$18:$G$30</c:f>
              <c:numCache>
                <c:formatCode>General</c:formatCode>
                <c:ptCount val="12"/>
                <c:pt idx="0">
                  <c:v>46</c:v>
                </c:pt>
                <c:pt idx="1">
                  <c:v>43</c:v>
                </c:pt>
                <c:pt idx="2">
                  <c:v>44</c:v>
                </c:pt>
                <c:pt idx="3">
                  <c:v>25</c:v>
                </c:pt>
                <c:pt idx="4">
                  <c:v>36</c:v>
                </c:pt>
                <c:pt idx="5">
                  <c:v>36</c:v>
                </c:pt>
                <c:pt idx="6">
                  <c:v>35</c:v>
                </c:pt>
                <c:pt idx="7">
                  <c:v>50</c:v>
                </c:pt>
                <c:pt idx="8">
                  <c:v>49</c:v>
                </c:pt>
                <c:pt idx="9">
                  <c:v>47</c:v>
                </c:pt>
                <c:pt idx="10">
                  <c:v>43</c:v>
                </c:pt>
                <c:pt idx="11">
                  <c:v>46</c:v>
                </c:pt>
              </c:numCache>
            </c:numRef>
          </c:val>
          <c:smooth val="0"/>
          <c:extLst>
            <c:ext xmlns:c16="http://schemas.microsoft.com/office/drawing/2014/chart" uri="{C3380CC4-5D6E-409C-BE32-E72D297353CC}">
              <c16:uniqueId val="{00000000-CC6A-4430-A1A9-E13748E07477}"/>
            </c:ext>
          </c:extLst>
        </c:ser>
        <c:dLbls>
          <c:dLblPos val="t"/>
          <c:showLegendKey val="0"/>
          <c:showVal val="1"/>
          <c:showCatName val="0"/>
          <c:showSerName val="0"/>
          <c:showPercent val="0"/>
          <c:showBubbleSize val="0"/>
        </c:dLbls>
        <c:marker val="1"/>
        <c:smooth val="0"/>
        <c:axId val="323509552"/>
        <c:axId val="245051152"/>
      </c:lineChart>
      <c:catAx>
        <c:axId val="3235095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45051152"/>
        <c:crosses val="autoZero"/>
        <c:auto val="1"/>
        <c:lblAlgn val="ctr"/>
        <c:lblOffset val="100"/>
        <c:noMultiLvlLbl val="0"/>
      </c:catAx>
      <c:valAx>
        <c:axId val="24505115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2350955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[IT_Service_Desk_Performance_Dashboard.xlsx]Pivot Tables!PivotTable4</c:name>
    <c:fmtId val="2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Tickets by Category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Tables'!$J$4:$J$12</c:f>
              <c:strCache>
                <c:ptCount val="8"/>
                <c:pt idx="0">
                  <c:v>Vpn Issue</c:v>
                </c:pt>
                <c:pt idx="1">
                  <c:v>Password Reset</c:v>
                </c:pt>
                <c:pt idx="2">
                  <c:v>Access Request</c:v>
                </c:pt>
                <c:pt idx="3">
                  <c:v>Email Issue</c:v>
                </c:pt>
                <c:pt idx="4">
                  <c:v>Login Issue</c:v>
                </c:pt>
                <c:pt idx="5">
                  <c:v>Software Install</c:v>
                </c:pt>
                <c:pt idx="6">
                  <c:v>Network Issue</c:v>
                </c:pt>
                <c:pt idx="7">
                  <c:v>Hardware Failure</c:v>
                </c:pt>
              </c:strCache>
            </c:strRef>
          </c:cat>
          <c:val>
            <c:numRef>
              <c:f>'Pivot Tables'!$K$4:$K$12</c:f>
              <c:numCache>
                <c:formatCode>General</c:formatCode>
                <c:ptCount val="8"/>
                <c:pt idx="0">
                  <c:v>70</c:v>
                </c:pt>
                <c:pt idx="1">
                  <c:v>68</c:v>
                </c:pt>
                <c:pt idx="2">
                  <c:v>66</c:v>
                </c:pt>
                <c:pt idx="3">
                  <c:v>66</c:v>
                </c:pt>
                <c:pt idx="4">
                  <c:v>61</c:v>
                </c:pt>
                <c:pt idx="5">
                  <c:v>59</c:v>
                </c:pt>
                <c:pt idx="6">
                  <c:v>57</c:v>
                </c:pt>
                <c:pt idx="7">
                  <c:v>53</c:v>
                </c:pt>
              </c:numCache>
            </c:numRef>
          </c:val>
          <c:extLst>
            <c:ext xmlns:c16="http://schemas.microsoft.com/office/drawing/2014/chart" uri="{C3380CC4-5D6E-409C-BE32-E72D297353CC}">
              <c16:uniqueId val="{00000000-F881-4F50-8490-A03757A32ACA}"/>
            </c:ext>
          </c:extLst>
        </c:ser>
        <c:dLbls>
          <c:dLblPos val="outEnd"/>
          <c:showLegendKey val="0"/>
          <c:showVal val="1"/>
          <c:showCatName val="0"/>
          <c:showSerName val="0"/>
          <c:showPercent val="0"/>
          <c:showBubbleSize val="0"/>
        </c:dLbls>
        <c:gapWidth val="267"/>
        <c:overlap val="-43"/>
        <c:axId val="320622624"/>
        <c:axId val="320623040"/>
      </c:barChart>
      <c:catAx>
        <c:axId val="32062262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20623040"/>
        <c:crosses val="autoZero"/>
        <c:auto val="1"/>
        <c:lblAlgn val="ctr"/>
        <c:lblOffset val="100"/>
        <c:noMultiLvlLbl val="0"/>
      </c:catAx>
      <c:valAx>
        <c:axId val="3206230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2062262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[IT_Service_Desk_Performance_Dashboard.xlsx]Pivot Tables!PivotTable6</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Tickets by Assignment Group</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Tables'!$N$4:$N$10</c:f>
              <c:strCache>
                <c:ptCount val="6"/>
                <c:pt idx="0">
                  <c:v>Infrastructure</c:v>
                </c:pt>
                <c:pt idx="1">
                  <c:v>Service Desk</c:v>
                </c:pt>
                <c:pt idx="2">
                  <c:v>Security</c:v>
                </c:pt>
                <c:pt idx="3">
                  <c:v>Applications</c:v>
                </c:pt>
                <c:pt idx="4">
                  <c:v>Network</c:v>
                </c:pt>
                <c:pt idx="5">
                  <c:v>Unassigned</c:v>
                </c:pt>
              </c:strCache>
            </c:strRef>
          </c:cat>
          <c:val>
            <c:numRef>
              <c:f>'Pivot Tables'!$O$4:$O$10</c:f>
              <c:numCache>
                <c:formatCode>General</c:formatCode>
                <c:ptCount val="6"/>
                <c:pt idx="0">
                  <c:v>112</c:v>
                </c:pt>
                <c:pt idx="1">
                  <c:v>101</c:v>
                </c:pt>
                <c:pt idx="2">
                  <c:v>94</c:v>
                </c:pt>
                <c:pt idx="3">
                  <c:v>92</c:v>
                </c:pt>
                <c:pt idx="4">
                  <c:v>89</c:v>
                </c:pt>
                <c:pt idx="5">
                  <c:v>12</c:v>
                </c:pt>
              </c:numCache>
            </c:numRef>
          </c:val>
          <c:extLst>
            <c:ext xmlns:c16="http://schemas.microsoft.com/office/drawing/2014/chart" uri="{C3380CC4-5D6E-409C-BE32-E72D297353CC}">
              <c16:uniqueId val="{00000000-92C4-4BAB-B852-9409D9044A86}"/>
            </c:ext>
          </c:extLst>
        </c:ser>
        <c:dLbls>
          <c:dLblPos val="outEnd"/>
          <c:showLegendKey val="0"/>
          <c:showVal val="1"/>
          <c:showCatName val="0"/>
          <c:showSerName val="0"/>
          <c:showPercent val="0"/>
          <c:showBubbleSize val="0"/>
        </c:dLbls>
        <c:gapWidth val="247"/>
        <c:axId val="329396400"/>
        <c:axId val="329398896"/>
      </c:barChart>
      <c:catAx>
        <c:axId val="3293964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29398896"/>
        <c:crosses val="autoZero"/>
        <c:auto val="1"/>
        <c:lblAlgn val="ctr"/>
        <c:lblOffset val="100"/>
        <c:noMultiLvlLbl val="0"/>
      </c:catAx>
      <c:valAx>
        <c:axId val="3293988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2939640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[IT_Service_Desk_Performance_Dashboard.xlsx]Pivot Tables!PivotTable3</c:name>
    <c:fmtId val="1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Open vs Closed</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'Pivot Tables'!$G$3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E5E-4383-A51E-D5E8D7C188F9}"/>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E5E-4383-A51E-D5E8D7C188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Tables'!$F$4:$F$6</c:f>
              <c:strCache>
                <c:ptCount val="2"/>
                <c:pt idx="0">
                  <c:v>Closed</c:v>
                </c:pt>
                <c:pt idx="1">
                  <c:v>Open</c:v>
                </c:pt>
              </c:strCache>
            </c:strRef>
          </c:cat>
          <c:val>
            <c:numRef>
              <c:f>'Pivot Tables'!$G$4:$G$6</c:f>
              <c:numCache>
                <c:formatCode>General</c:formatCode>
                <c:ptCount val="2"/>
                <c:pt idx="0">
                  <c:v>362</c:v>
                </c:pt>
                <c:pt idx="1">
                  <c:v>138</c:v>
                </c:pt>
              </c:numCache>
            </c:numRef>
          </c:val>
          <c:extLst>
            <c:ext xmlns:c16="http://schemas.microsoft.com/office/drawing/2014/chart" uri="{C3380CC4-5D6E-409C-BE32-E72D297353CC}">
              <c16:uniqueId val="{00000004-BE5E-4383-A51E-D5E8D7C188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923193</xdr:colOff>
      <xdr:row>8</xdr:row>
      <xdr:rowOff>102577</xdr:rowOff>
    </xdr:from>
    <xdr:to>
      <xdr:col>8</xdr:col>
      <xdr:colOff>600808</xdr:colOff>
      <xdr:row>18</xdr:row>
      <xdr:rowOff>14654</xdr:rowOff>
    </xdr:to>
    <xdr:graphicFrame macro="">
      <xdr:nvGraphicFramePr>
        <xdr:cNvPr id="3" name="Chart 2">
          <a:extLst>
            <a:ext uri="{FF2B5EF4-FFF2-40B4-BE49-F238E27FC236}">
              <a16:creationId xmlns:a16="http://schemas.microsoft.com/office/drawing/2014/main" id="{EF5C4C72-D2D8-4CDB-9B26-1742BDCC1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124557</xdr:colOff>
      <xdr:row>8</xdr:row>
      <xdr:rowOff>95250</xdr:rowOff>
    </xdr:from>
    <xdr:to>
      <xdr:col>14</xdr:col>
      <xdr:colOff>344365</xdr:colOff>
      <xdr:row>18</xdr:row>
      <xdr:rowOff>14654</xdr:rowOff>
    </xdr:to>
    <xdr:graphicFrame macro="">
      <xdr:nvGraphicFramePr>
        <xdr:cNvPr id="4" name="Chart 3">
          <a:extLst>
            <a:ext uri="{FF2B5EF4-FFF2-40B4-BE49-F238E27FC236}">
              <a16:creationId xmlns:a16="http://schemas.microsoft.com/office/drawing/2014/main" id="{02497352-AE74-4DB4-89C5-542D258B3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893884</xdr:colOff>
      <xdr:row>18</xdr:row>
      <xdr:rowOff>153866</xdr:rowOff>
    </xdr:from>
    <xdr:to>
      <xdr:col>9</xdr:col>
      <xdr:colOff>14653</xdr:colOff>
      <xdr:row>28</xdr:row>
      <xdr:rowOff>87924</xdr:rowOff>
    </xdr:to>
    <xdr:graphicFrame macro="">
      <xdr:nvGraphicFramePr>
        <xdr:cNvPr id="5" name="Chart 4">
          <a:extLst>
            <a:ext uri="{FF2B5EF4-FFF2-40B4-BE49-F238E27FC236}">
              <a16:creationId xmlns:a16="http://schemas.microsoft.com/office/drawing/2014/main" id="{B5E721C1-FA51-4397-83C5-A67E34C27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117230</xdr:colOff>
      <xdr:row>18</xdr:row>
      <xdr:rowOff>146537</xdr:rowOff>
    </xdr:from>
    <xdr:to>
      <xdr:col>14</xdr:col>
      <xdr:colOff>329711</xdr:colOff>
      <xdr:row>28</xdr:row>
      <xdr:rowOff>87924</xdr:rowOff>
    </xdr:to>
    <xdr:graphicFrame macro="">
      <xdr:nvGraphicFramePr>
        <xdr:cNvPr id="6" name="Chart 5">
          <a:extLst>
            <a:ext uri="{FF2B5EF4-FFF2-40B4-BE49-F238E27FC236}">
              <a16:creationId xmlns:a16="http://schemas.microsoft.com/office/drawing/2014/main" id="{B34270B4-D091-48D0-8D3D-7E37AC0D7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233794</xdr:colOff>
      <xdr:row>29</xdr:row>
      <xdr:rowOff>8659</xdr:rowOff>
    </xdr:from>
    <xdr:to>
      <xdr:col>11</xdr:col>
      <xdr:colOff>519545</xdr:colOff>
      <xdr:row>43</xdr:row>
      <xdr:rowOff>86590</xdr:rowOff>
    </xdr:to>
    <xdr:graphicFrame macro="">
      <xdr:nvGraphicFramePr>
        <xdr:cNvPr id="7" name="Chart 6">
          <a:extLst>
            <a:ext uri="{FF2B5EF4-FFF2-40B4-BE49-F238E27FC236}">
              <a16:creationId xmlns:a16="http://schemas.microsoft.com/office/drawing/2014/main" id="{E2C7498A-FB1E-4366-A5CD-F3C5333C8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293034</xdr:colOff>
      <xdr:row>10</xdr:row>
      <xdr:rowOff>118221</xdr:rowOff>
    </xdr:from>
    <xdr:to>
      <xdr:col>18</xdr:col>
      <xdr:colOff>306481</xdr:colOff>
      <xdr:row>18</xdr:row>
      <xdr:rowOff>78440</xdr:rowOff>
    </xdr:to>
    <mc:AlternateContent xmlns:mc="http://schemas.openxmlformats.org/markup-compatibility/2006" xmlns:a14="http://schemas.microsoft.com/office/drawing/2010/main">
      <mc:Choice Requires="a14">
        <xdr:graphicFrame macro="">
          <xdr:nvGraphicFramePr>
            <xdr:cNvPr id="2" name="Priority">
              <a:extLst>
                <a:ext uri="{FF2B5EF4-FFF2-40B4-BE49-F238E27FC236}">
                  <a16:creationId xmlns:a16="http://schemas.microsoft.com/office/drawing/2014/main" id="{022AD531-9BEB-4A8F-92B3-1BEFF4D36820}"/>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0042152" y="2068045"/>
              <a:ext cx="1828800" cy="1484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298636</xdr:colOff>
      <xdr:row>18</xdr:row>
      <xdr:rowOff>146235</xdr:rowOff>
    </xdr:from>
    <xdr:to>
      <xdr:col>18</xdr:col>
      <xdr:colOff>312083</xdr:colOff>
      <xdr:row>32</xdr:row>
      <xdr:rowOff>3360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E971C2A-0296-4EEF-A339-08CF7BA2CD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47754" y="362005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393885</xdr:colOff>
      <xdr:row>5</xdr:row>
      <xdr:rowOff>84606</xdr:rowOff>
    </xdr:from>
    <xdr:to>
      <xdr:col>21</xdr:col>
      <xdr:colOff>407332</xdr:colOff>
      <xdr:row>18</xdr:row>
      <xdr:rowOff>56030</xdr:rowOff>
    </xdr:to>
    <mc:AlternateContent xmlns:mc="http://schemas.openxmlformats.org/markup-compatibility/2006" xmlns:a14="http://schemas.microsoft.com/office/drawing/2010/main">
      <mc:Choice Requires="a14">
        <xdr:graphicFrame macro="">
          <xdr:nvGraphicFramePr>
            <xdr:cNvPr id="9" name="Assignment_Group">
              <a:extLst>
                <a:ext uri="{FF2B5EF4-FFF2-40B4-BE49-F238E27FC236}">
                  <a16:creationId xmlns:a16="http://schemas.microsoft.com/office/drawing/2014/main" id="{205AAF36-CF7A-4E48-9F1D-138A412BD63D}"/>
                </a:ext>
              </a:extLst>
            </xdr:cNvPr>
            <xdr:cNvGraphicFramePr/>
          </xdr:nvGraphicFramePr>
          <xdr:xfrm>
            <a:off x="0" y="0"/>
            <a:ext cx="0" cy="0"/>
          </xdr:xfrm>
          <a:graphic>
            <a:graphicData uri="http://schemas.microsoft.com/office/drawing/2010/slicer">
              <sle:slicer xmlns:sle="http://schemas.microsoft.com/office/drawing/2010/slicer" name="Assignment_Group"/>
            </a:graphicData>
          </a:graphic>
        </xdr:graphicFrame>
      </mc:Choice>
      <mc:Fallback xmlns="">
        <xdr:sp macro="" textlink="">
          <xdr:nvSpPr>
            <xdr:cNvPr id="0" name=""/>
            <xdr:cNvSpPr>
              <a:spLocks noTextEdit="1"/>
            </xdr:cNvSpPr>
          </xdr:nvSpPr>
          <xdr:spPr>
            <a:xfrm>
              <a:off x="11958356" y="1081930"/>
              <a:ext cx="1828800" cy="2447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399488</xdr:colOff>
      <xdr:row>18</xdr:row>
      <xdr:rowOff>146236</xdr:rowOff>
    </xdr:from>
    <xdr:to>
      <xdr:col>21</xdr:col>
      <xdr:colOff>412935</xdr:colOff>
      <xdr:row>32</xdr:row>
      <xdr:rowOff>3361</xdr:rowOff>
    </xdr:to>
    <mc:AlternateContent xmlns:mc="http://schemas.openxmlformats.org/markup-compatibility/2006" xmlns:a14="http://schemas.microsoft.com/office/drawing/2010/main">
      <mc:Choice Requires="a14">
        <xdr:graphicFrame macro="">
          <xdr:nvGraphicFramePr>
            <xdr:cNvPr id="10" name="Created_Month">
              <a:extLst>
                <a:ext uri="{FF2B5EF4-FFF2-40B4-BE49-F238E27FC236}">
                  <a16:creationId xmlns:a16="http://schemas.microsoft.com/office/drawing/2014/main" id="{8405C99E-74F4-4F00-A236-3697E40C45C8}"/>
                </a:ext>
              </a:extLst>
            </xdr:cNvPr>
            <xdr:cNvGraphicFramePr/>
          </xdr:nvGraphicFramePr>
          <xdr:xfrm>
            <a:off x="0" y="0"/>
            <a:ext cx="0" cy="0"/>
          </xdr:xfrm>
          <a:graphic>
            <a:graphicData uri="http://schemas.microsoft.com/office/drawing/2010/slicer">
              <sle:slicer xmlns:sle="http://schemas.microsoft.com/office/drawing/2010/slicer" name="Created_Month"/>
            </a:graphicData>
          </a:graphic>
        </xdr:graphicFrame>
      </mc:Choice>
      <mc:Fallback xmlns="">
        <xdr:sp macro="" textlink="">
          <xdr:nvSpPr>
            <xdr:cNvPr id="0" name=""/>
            <xdr:cNvSpPr>
              <a:spLocks noTextEdit="1"/>
            </xdr:cNvSpPr>
          </xdr:nvSpPr>
          <xdr:spPr>
            <a:xfrm>
              <a:off x="11963959" y="36200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D" refreshedDate="46217.975993981483" createdVersion="7" refreshedVersion="7" minRefreshableVersion="3" recordCount="500" xr:uid="{00000000-000A-0000-FFFF-FFFF19000000}">
  <cacheSource type="worksheet">
    <worksheetSource name="tb1Tickets"/>
  </cacheSource>
  <cacheFields count="19">
    <cacheField name="Ticket_ID" numFmtId="0">
      <sharedItems/>
    </cacheField>
    <cacheField name="Created_Date" numFmtId="164">
      <sharedItems containsSemiMixedTypes="0" containsNonDate="0" containsDate="1" containsString="0" minDate="2025-01-02T00:00:00" maxDate="2026-01-01T00:00:00"/>
    </cacheField>
    <cacheField name="Resolved_Date" numFmtId="164">
      <sharedItems containsNonDate="0" containsDate="1" containsString="0" containsBlank="1" minDate="2025-01-03T00:00:00" maxDate="2026-01-08T00:00:00"/>
    </cacheField>
    <cacheField name="Priority" numFmtId="0">
      <sharedItems count="4">
        <s v="P4"/>
        <s v="P2"/>
        <s v="P1"/>
        <s v="P3"/>
      </sharedItems>
    </cacheField>
    <cacheField name="Status" numFmtId="0">
      <sharedItems/>
    </cacheField>
    <cacheField name="Category" numFmtId="0">
      <sharedItems count="8">
        <s v="Password Reset"/>
        <s v="Software Install"/>
        <s v="Hardware Failure"/>
        <s v="Email Issue"/>
        <s v="Login Issue"/>
        <s v="Access Request"/>
        <s v="Vpn Issue"/>
        <s v="Network Issue"/>
      </sharedItems>
    </cacheField>
    <cacheField name="Assignment_Group" numFmtId="0">
      <sharedItems count="7">
        <s v="Security"/>
        <s v="Infrastructure"/>
        <s v="Network"/>
        <s v="Applications"/>
        <s v="Service Desk"/>
        <s v="Unassigned"/>
        <s v="" u="1"/>
      </sharedItems>
    </cacheField>
    <cacheField name="Assigned_Agent" numFmtId="0">
      <sharedItems/>
    </cacheField>
    <cacheField name="Location" numFmtId="0">
      <sharedItems/>
    </cacheField>
    <cacheField name="Channel" numFmtId="0">
      <sharedItems/>
    </cacheField>
    <cacheField name="Impact" numFmtId="0">
      <sharedItems/>
    </cacheField>
    <cacheField name="Urgency" numFmtId="0">
      <sharedItems/>
    </cacheField>
    <cacheField name="Resolution_Time (Days)" numFmtId="0">
      <sharedItems containsMixedTypes="1" containsNumber="1" containsInteger="1" minValue="0" maxValue="10"/>
    </cacheField>
    <cacheField name="SLA_Target(Days)" numFmtId="0">
      <sharedItems containsSemiMixedTypes="0" containsString="0" containsNumber="1" containsInteger="1" minValue="1" maxValue="7"/>
    </cacheField>
    <cacheField name="SLA_Status" numFmtId="0">
      <sharedItems count="3">
        <s v="Met"/>
        <s v="Breached"/>
        <s v="Open"/>
      </sharedItems>
    </cacheField>
    <cacheField name="Created_Month" numFmtId="0">
      <sharedItems count="12">
        <s v="Jan"/>
        <s v="Nov"/>
        <s v="Jul"/>
        <s v="Aug"/>
        <s v="Oct"/>
        <s v="Feb"/>
        <s v="Jun"/>
        <s v="Apr"/>
        <s v="Dec"/>
        <s v="May"/>
        <s v="Sep"/>
        <s v="Mar"/>
      </sharedItems>
    </cacheField>
    <cacheField name="Created_Year" numFmtId="0">
      <sharedItems containsSemiMixedTypes="0" containsString="0" containsNumber="1" containsInteger="1" minValue="2025" maxValue="2025"/>
    </cacheField>
    <cacheField name="Open/Closed" numFmtId="0">
      <sharedItems count="2">
        <s v="Closed"/>
        <s v="Open"/>
      </sharedItems>
    </cacheField>
    <cacheField name="Resolution_Month" numFmtId="0">
      <sharedItems/>
    </cacheField>
  </cacheFields>
  <extLst>
    <ext xmlns:x14="http://schemas.microsoft.com/office/spreadsheetml/2009/9/main" uri="{725AE2AE-9491-48be-B2B4-4EB974FC3084}">
      <x14:pivotCacheDefinition pivotCacheId="1187807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CK-1001"/>
    <d v="2025-01-13T00:00:00"/>
    <d v="2025-01-16T00:00:00"/>
    <x v="0"/>
    <s v="Closed"/>
    <x v="0"/>
    <x v="0"/>
    <s v="Unassigned"/>
    <s v="Makati"/>
    <s v="Chat"/>
    <s v="Low"/>
    <s v="Medium"/>
    <n v="3"/>
    <n v="7"/>
    <x v="0"/>
    <x v="0"/>
    <n v="2025"/>
    <x v="0"/>
    <s v="Jan"/>
  </r>
  <r>
    <s v="TCK-1002"/>
    <d v="2025-01-04T00:00:00"/>
    <d v="2025-01-08T00:00:00"/>
    <x v="0"/>
    <s v="Closed"/>
    <x v="1"/>
    <x v="1"/>
    <s v="Agent O"/>
    <s v="Manila"/>
    <s v="Portal"/>
    <s v="Low"/>
    <s v="Low"/>
    <n v="4"/>
    <n v="7"/>
    <x v="0"/>
    <x v="0"/>
    <n v="2025"/>
    <x v="0"/>
    <s v="Jan"/>
  </r>
  <r>
    <s v="TCK-1002"/>
    <d v="2025-11-17T00:00:00"/>
    <d v="2025-11-23T00:00:00"/>
    <x v="1"/>
    <s v="Closed"/>
    <x v="2"/>
    <x v="0"/>
    <s v="Agent K"/>
    <s v="BGC"/>
    <s v="Chat"/>
    <s v="Medium"/>
    <s v="High"/>
    <n v="6"/>
    <n v="3"/>
    <x v="1"/>
    <x v="1"/>
    <n v="2025"/>
    <x v="0"/>
    <s v="Nov"/>
  </r>
  <r>
    <s v="TCK-1003"/>
    <d v="2025-07-05T00:00:00"/>
    <d v="2025-07-05T00:00:00"/>
    <x v="2"/>
    <s v="Resolved"/>
    <x v="3"/>
    <x v="2"/>
    <s v="Agent G"/>
    <s v="Davao"/>
    <s v="Phone"/>
    <s v="Low"/>
    <s v="Low"/>
    <n v="0"/>
    <n v="1"/>
    <x v="0"/>
    <x v="2"/>
    <n v="2025"/>
    <x v="0"/>
    <s v="Jul"/>
  </r>
  <r>
    <s v="TCK-1004"/>
    <d v="2025-08-25T00:00:00"/>
    <d v="2025-09-02T00:00:00"/>
    <x v="0"/>
    <s v="Resolved"/>
    <x v="4"/>
    <x v="0"/>
    <s v="Agent K"/>
    <s v="Cebu"/>
    <s v="Chat"/>
    <s v="High"/>
    <s v="Medium"/>
    <n v="8"/>
    <n v="7"/>
    <x v="1"/>
    <x v="3"/>
    <n v="2025"/>
    <x v="0"/>
    <s v="Sep"/>
  </r>
  <r>
    <s v="TCK-1005"/>
    <d v="2025-10-15T00:00:00"/>
    <d v="2025-10-22T00:00:00"/>
    <x v="0"/>
    <s v="Resolved"/>
    <x v="5"/>
    <x v="3"/>
    <s v="Agent M"/>
    <s v="Davao"/>
    <s v="Portal"/>
    <s v="Low"/>
    <s v="High"/>
    <n v="7"/>
    <n v="7"/>
    <x v="0"/>
    <x v="4"/>
    <n v="2025"/>
    <x v="0"/>
    <s v="Oct"/>
  </r>
  <r>
    <s v="TCK-1006"/>
    <d v="2025-02-28T00:00:00"/>
    <d v="2025-02-28T00:00:00"/>
    <x v="3"/>
    <s v="Closed"/>
    <x v="4"/>
    <x v="2"/>
    <s v="Agent D"/>
    <s v="Iloilo"/>
    <s v="Phone"/>
    <s v="High"/>
    <s v="Medium"/>
    <n v="0"/>
    <n v="5"/>
    <x v="0"/>
    <x v="5"/>
    <n v="2025"/>
    <x v="0"/>
    <s v="Feb"/>
  </r>
  <r>
    <s v="TCK-1007"/>
    <d v="2025-10-04T00:00:00"/>
    <d v="2025-10-05T00:00:00"/>
    <x v="1"/>
    <s v="Closed"/>
    <x v="2"/>
    <x v="3"/>
    <s v="Agent R"/>
    <s v="Clark"/>
    <s v="Chat"/>
    <s v="Low"/>
    <s v="High"/>
    <n v="1"/>
    <n v="3"/>
    <x v="0"/>
    <x v="4"/>
    <n v="2025"/>
    <x v="0"/>
    <s v="Oct"/>
  </r>
  <r>
    <s v="TCK-1008"/>
    <d v="2025-11-07T00:00:00"/>
    <d v="2025-11-12T00:00:00"/>
    <x v="1"/>
    <s v="Resolved"/>
    <x v="6"/>
    <x v="4"/>
    <s v="Agent C"/>
    <s v="Davao"/>
    <s v="Phone"/>
    <s v="High"/>
    <s v="High"/>
    <n v="5"/>
    <n v="3"/>
    <x v="1"/>
    <x v="1"/>
    <n v="2025"/>
    <x v="0"/>
    <s v="Nov"/>
  </r>
  <r>
    <s v="TCK-1009"/>
    <d v="2025-01-31T00:00:00"/>
    <m/>
    <x v="0"/>
    <s v="In Progress"/>
    <x v="0"/>
    <x v="0"/>
    <s v="Agent H"/>
    <s v="Makati"/>
    <s v="Email"/>
    <s v="High"/>
    <s v="Low"/>
    <n v="0"/>
    <n v="7"/>
    <x v="2"/>
    <x v="0"/>
    <n v="2025"/>
    <x v="1"/>
    <s v="Open"/>
  </r>
  <r>
    <s v="TCK-1010"/>
    <d v="2025-08-05T00:00:00"/>
    <d v="2025-08-06T00:00:00"/>
    <x v="2"/>
    <s v="Resolved"/>
    <x v="1"/>
    <x v="2"/>
    <s v="Agent I"/>
    <s v="Cebu"/>
    <s v="Email"/>
    <s v="High"/>
    <s v="Low"/>
    <n v="1"/>
    <n v="1"/>
    <x v="0"/>
    <x v="3"/>
    <n v="2025"/>
    <x v="0"/>
    <s v="Aug"/>
  </r>
  <r>
    <s v="TCK-1011"/>
    <d v="2025-01-08T00:00:00"/>
    <d v="2025-01-08T00:00:00"/>
    <x v="0"/>
    <s v="Closed"/>
    <x v="4"/>
    <x v="3"/>
    <s v="Agent R"/>
    <s v="Makati"/>
    <s v="Phone"/>
    <s v="Medium"/>
    <s v="High"/>
    <n v="0"/>
    <n v="7"/>
    <x v="0"/>
    <x v="0"/>
    <n v="2025"/>
    <x v="0"/>
    <s v="Jan"/>
  </r>
  <r>
    <s v="TCK-1012"/>
    <d v="2025-10-24T00:00:00"/>
    <d v="2025-10-26T00:00:00"/>
    <x v="1"/>
    <s v="Closed"/>
    <x v="7"/>
    <x v="4"/>
    <s v="Agent H"/>
    <s v="Davao"/>
    <s v="Email"/>
    <s v="Low"/>
    <s v="High"/>
    <n v="2"/>
    <n v="3"/>
    <x v="0"/>
    <x v="4"/>
    <n v="2025"/>
    <x v="0"/>
    <s v="Oct"/>
  </r>
  <r>
    <s v="TCK-1013"/>
    <d v="2025-10-26T00:00:00"/>
    <d v="2025-10-27T00:00:00"/>
    <x v="2"/>
    <s v="Resolved"/>
    <x v="6"/>
    <x v="4"/>
    <s v="Unassigned"/>
    <s v="Manila"/>
    <s v="Phone"/>
    <s v="Low"/>
    <s v="Medium"/>
    <n v="1"/>
    <n v="1"/>
    <x v="0"/>
    <x v="4"/>
    <n v="2025"/>
    <x v="0"/>
    <s v="Oct"/>
  </r>
  <r>
    <s v="TCK-1014"/>
    <d v="2025-06-28T00:00:00"/>
    <d v="2025-07-01T00:00:00"/>
    <x v="1"/>
    <s v="Closed"/>
    <x v="4"/>
    <x v="2"/>
    <s v="Agent D"/>
    <s v="BGC"/>
    <s v="Portal"/>
    <s v="Low"/>
    <s v="High"/>
    <n v="3"/>
    <n v="3"/>
    <x v="0"/>
    <x v="6"/>
    <n v="2025"/>
    <x v="0"/>
    <s v="Jul"/>
  </r>
  <r>
    <s v="TCK-1015"/>
    <d v="2025-04-15T00:00:00"/>
    <d v="2025-04-21T00:00:00"/>
    <x v="0"/>
    <s v="Closed"/>
    <x v="6"/>
    <x v="1"/>
    <s v="Agent O"/>
    <s v="Davao"/>
    <s v="Email"/>
    <s v="High"/>
    <s v="High"/>
    <n v="6"/>
    <n v="7"/>
    <x v="0"/>
    <x v="7"/>
    <n v="2025"/>
    <x v="0"/>
    <s v="Apr"/>
  </r>
  <r>
    <s v="TCK-1016"/>
    <d v="2025-12-20T00:00:00"/>
    <d v="2025-12-29T00:00:00"/>
    <x v="3"/>
    <s v="Closed"/>
    <x v="2"/>
    <x v="1"/>
    <s v="Agent H"/>
    <s v="Iloilo"/>
    <s v="Chat"/>
    <s v="Low"/>
    <s v="Low"/>
    <n v="9"/>
    <n v="5"/>
    <x v="1"/>
    <x v="8"/>
    <n v="2025"/>
    <x v="0"/>
    <s v="Dec"/>
  </r>
  <r>
    <s v="TCK-1017"/>
    <d v="2025-05-02T00:00:00"/>
    <d v="2025-05-03T00:00:00"/>
    <x v="1"/>
    <s v="Closed"/>
    <x v="6"/>
    <x v="4"/>
    <s v="Agent B"/>
    <s v="Makati"/>
    <s v="Chat"/>
    <s v="Medium"/>
    <s v="Medium"/>
    <n v="1"/>
    <n v="3"/>
    <x v="0"/>
    <x v="9"/>
    <n v="2025"/>
    <x v="0"/>
    <s v="May"/>
  </r>
  <r>
    <s v="TCK-1018"/>
    <d v="2025-04-27T00:00:00"/>
    <m/>
    <x v="2"/>
    <s v="In Progress"/>
    <x v="2"/>
    <x v="3"/>
    <s v="Agent R"/>
    <s v="Manila"/>
    <s v="Portal"/>
    <s v="High"/>
    <s v="Low"/>
    <s v=""/>
    <n v="1"/>
    <x v="2"/>
    <x v="7"/>
    <n v="2025"/>
    <x v="1"/>
    <s v="Open"/>
  </r>
  <r>
    <s v="TCK-1019"/>
    <d v="2025-05-16T00:00:00"/>
    <m/>
    <x v="1"/>
    <s v="Open"/>
    <x v="1"/>
    <x v="2"/>
    <s v="Agent N"/>
    <s v="BGC"/>
    <s v="Chat"/>
    <s v="High"/>
    <s v="Low"/>
    <s v=""/>
    <n v="3"/>
    <x v="2"/>
    <x v="9"/>
    <n v="2025"/>
    <x v="1"/>
    <s v="Open"/>
  </r>
  <r>
    <s v="TCK-1020"/>
    <d v="2025-11-16T00:00:00"/>
    <d v="2025-11-20T00:00:00"/>
    <x v="3"/>
    <s v="Resolved"/>
    <x v="6"/>
    <x v="3"/>
    <s v="Agent F"/>
    <s v="Cebu"/>
    <s v="Email"/>
    <s v="Medium"/>
    <s v="Medium"/>
    <n v="4"/>
    <n v="5"/>
    <x v="0"/>
    <x v="1"/>
    <n v="2025"/>
    <x v="0"/>
    <s v="Nov"/>
  </r>
  <r>
    <s v="TCK-1021"/>
    <d v="2025-10-24T00:00:00"/>
    <d v="2025-10-27T00:00:00"/>
    <x v="1"/>
    <s v="Closed"/>
    <x v="7"/>
    <x v="4"/>
    <s v="Agent H"/>
    <s v="Iloilo"/>
    <s v="Phone"/>
    <s v="High"/>
    <s v="High"/>
    <n v="3"/>
    <n v="3"/>
    <x v="0"/>
    <x v="4"/>
    <n v="2025"/>
    <x v="0"/>
    <s v="Oct"/>
  </r>
  <r>
    <s v="TCK-1022"/>
    <d v="2025-09-01T00:00:00"/>
    <d v="2025-09-04T00:00:00"/>
    <x v="1"/>
    <s v="Closed"/>
    <x v="6"/>
    <x v="5"/>
    <s v="Agent D"/>
    <s v="Makati"/>
    <s v="Chat"/>
    <s v="High"/>
    <s v="Low"/>
    <n v="3"/>
    <n v="3"/>
    <x v="0"/>
    <x v="10"/>
    <n v="2025"/>
    <x v="0"/>
    <s v="Sep"/>
  </r>
  <r>
    <s v="TCK-1023"/>
    <d v="2025-03-04T00:00:00"/>
    <d v="2025-03-11T00:00:00"/>
    <x v="0"/>
    <s v="Resolved"/>
    <x v="5"/>
    <x v="0"/>
    <s v="Agent F"/>
    <s v="Cebu"/>
    <s v="Portal"/>
    <s v="High"/>
    <s v="Low"/>
    <n v="7"/>
    <n v="7"/>
    <x v="0"/>
    <x v="11"/>
    <n v="2025"/>
    <x v="0"/>
    <s v="Mar"/>
  </r>
  <r>
    <s v="TCK-1024"/>
    <d v="2025-09-24T00:00:00"/>
    <d v="2025-09-25T00:00:00"/>
    <x v="3"/>
    <s v="Resolved"/>
    <x v="1"/>
    <x v="2"/>
    <s v="Agent C"/>
    <s v="Davao"/>
    <s v="Chat"/>
    <s v="Medium"/>
    <s v="High"/>
    <n v="1"/>
    <n v="5"/>
    <x v="0"/>
    <x v="10"/>
    <n v="2025"/>
    <x v="0"/>
    <s v="Sep"/>
  </r>
  <r>
    <s v="TCK-1025"/>
    <d v="2025-08-04T00:00:00"/>
    <d v="2025-08-05T00:00:00"/>
    <x v="1"/>
    <s v="Resolved"/>
    <x v="1"/>
    <x v="0"/>
    <s v="Agent R"/>
    <s v="Cebu"/>
    <s v="Phone"/>
    <s v="Medium"/>
    <s v="Medium"/>
    <n v="1"/>
    <n v="3"/>
    <x v="0"/>
    <x v="3"/>
    <n v="2025"/>
    <x v="0"/>
    <s v="Aug"/>
  </r>
  <r>
    <s v="TCK-1026"/>
    <d v="2025-07-19T00:00:00"/>
    <d v="2025-07-22T00:00:00"/>
    <x v="3"/>
    <s v="Resolved"/>
    <x v="4"/>
    <x v="3"/>
    <s v="Agent O"/>
    <s v="Cebu"/>
    <s v="Portal"/>
    <s v="High"/>
    <s v="Medium"/>
    <n v="3"/>
    <n v="5"/>
    <x v="0"/>
    <x v="2"/>
    <n v="2025"/>
    <x v="0"/>
    <s v="Jul"/>
  </r>
  <r>
    <s v="TCK-1027"/>
    <d v="2025-07-14T00:00:00"/>
    <d v="2025-07-16T00:00:00"/>
    <x v="1"/>
    <s v="Resolved"/>
    <x v="1"/>
    <x v="4"/>
    <s v="Agent G"/>
    <s v="Makati"/>
    <s v="Phone"/>
    <s v="Medium"/>
    <s v="Low"/>
    <n v="2"/>
    <n v="3"/>
    <x v="0"/>
    <x v="2"/>
    <n v="2025"/>
    <x v="0"/>
    <s v="Jul"/>
  </r>
  <r>
    <s v="TCK-1028"/>
    <d v="2025-04-22T00:00:00"/>
    <d v="2025-04-22T00:00:00"/>
    <x v="1"/>
    <s v="Resolved"/>
    <x v="0"/>
    <x v="1"/>
    <s v="Agent M"/>
    <s v="Manila"/>
    <s v="Phone"/>
    <s v="High"/>
    <s v="Low"/>
    <n v="0"/>
    <n v="3"/>
    <x v="0"/>
    <x v="7"/>
    <n v="2025"/>
    <x v="0"/>
    <s v="Apr"/>
  </r>
  <r>
    <s v="TCK-1029"/>
    <d v="2025-12-17T00:00:00"/>
    <d v="2025-12-20T00:00:00"/>
    <x v="0"/>
    <s v="Closed"/>
    <x v="1"/>
    <x v="3"/>
    <s v="Agent L"/>
    <s v="Clark"/>
    <s v="Phone"/>
    <s v="Medium"/>
    <s v="High"/>
    <n v="3"/>
    <n v="7"/>
    <x v="0"/>
    <x v="8"/>
    <n v="2025"/>
    <x v="0"/>
    <s v="Dec"/>
  </r>
  <r>
    <s v="TCK-1030"/>
    <d v="2025-11-30T00:00:00"/>
    <d v="2025-11-30T00:00:00"/>
    <x v="0"/>
    <s v="Resolved"/>
    <x v="3"/>
    <x v="3"/>
    <s v="Agent M"/>
    <s v="Iloilo"/>
    <s v="Portal"/>
    <s v="High"/>
    <s v="Medium"/>
    <n v="0"/>
    <n v="7"/>
    <x v="0"/>
    <x v="1"/>
    <n v="2025"/>
    <x v="0"/>
    <s v="Nov"/>
  </r>
  <r>
    <s v="TCK-1031"/>
    <d v="2025-05-13T00:00:00"/>
    <d v="2025-05-16T00:00:00"/>
    <x v="1"/>
    <s v="Resolved"/>
    <x v="6"/>
    <x v="3"/>
    <s v="Agent A"/>
    <s v="Cebu"/>
    <s v="Phone"/>
    <s v="Medium"/>
    <s v="Low"/>
    <n v="3"/>
    <n v="3"/>
    <x v="0"/>
    <x v="9"/>
    <n v="2025"/>
    <x v="0"/>
    <s v="May"/>
  </r>
  <r>
    <s v="TCK-1032"/>
    <d v="2025-08-31T00:00:00"/>
    <d v="2025-08-31T00:00:00"/>
    <x v="0"/>
    <s v="Resolved"/>
    <x v="2"/>
    <x v="0"/>
    <s v="Agent F"/>
    <s v="BGC"/>
    <s v="Portal"/>
    <s v="High"/>
    <s v="High"/>
    <n v="0"/>
    <n v="7"/>
    <x v="0"/>
    <x v="3"/>
    <n v="2025"/>
    <x v="0"/>
    <s v="Aug"/>
  </r>
  <r>
    <s v="TCK-1033"/>
    <d v="2025-07-04T00:00:00"/>
    <m/>
    <x v="0"/>
    <s v="In Progress"/>
    <x v="2"/>
    <x v="3"/>
    <s v="Agent A"/>
    <s v="Cebu"/>
    <s v="Chat"/>
    <s v="Medium"/>
    <s v="High"/>
    <s v=""/>
    <n v="7"/>
    <x v="2"/>
    <x v="2"/>
    <n v="2025"/>
    <x v="1"/>
    <s v="Open"/>
  </r>
  <r>
    <s v="TCK-1034"/>
    <d v="2025-05-10T00:00:00"/>
    <d v="2025-05-13T00:00:00"/>
    <x v="1"/>
    <s v="Closed"/>
    <x v="4"/>
    <x v="2"/>
    <s v="Agent N"/>
    <s v="Iloilo"/>
    <s v="Chat"/>
    <s v="Medium"/>
    <s v="Medium"/>
    <n v="3"/>
    <n v="3"/>
    <x v="0"/>
    <x v="9"/>
    <n v="2025"/>
    <x v="0"/>
    <s v="May"/>
  </r>
  <r>
    <s v="TCK-1035"/>
    <d v="2025-10-29T00:00:00"/>
    <d v="2025-11-03T00:00:00"/>
    <x v="0"/>
    <s v="Closed"/>
    <x v="3"/>
    <x v="0"/>
    <s v="Agent A"/>
    <s v="BGC"/>
    <s v="Email"/>
    <s v="High"/>
    <s v="Medium"/>
    <n v="5"/>
    <n v="7"/>
    <x v="0"/>
    <x v="4"/>
    <n v="2025"/>
    <x v="0"/>
    <s v="Nov"/>
  </r>
  <r>
    <s v="TCK-1036"/>
    <d v="2025-12-26T00:00:00"/>
    <d v="2025-12-27T00:00:00"/>
    <x v="3"/>
    <s v="Closed"/>
    <x v="3"/>
    <x v="2"/>
    <s v="Agent F"/>
    <s v="Cebu"/>
    <s v="Email"/>
    <s v="Medium"/>
    <s v="Low"/>
    <n v="1"/>
    <n v="5"/>
    <x v="0"/>
    <x v="8"/>
    <n v="2025"/>
    <x v="0"/>
    <s v="Dec"/>
  </r>
  <r>
    <s v="TCK-1037"/>
    <d v="2025-07-26T00:00:00"/>
    <d v="2025-07-27T00:00:00"/>
    <x v="1"/>
    <s v="Closed"/>
    <x v="0"/>
    <x v="0"/>
    <s v="Agent I"/>
    <s v="Cebu"/>
    <s v="Chat"/>
    <s v="Medium"/>
    <s v="High"/>
    <n v="1"/>
    <n v="3"/>
    <x v="0"/>
    <x v="2"/>
    <n v="2025"/>
    <x v="0"/>
    <s v="Jul"/>
  </r>
  <r>
    <s v="TCK-1038"/>
    <d v="2025-08-12T00:00:00"/>
    <d v="2025-08-13T00:00:00"/>
    <x v="2"/>
    <s v="Closed"/>
    <x v="0"/>
    <x v="3"/>
    <s v="Agent R"/>
    <s v="BGC"/>
    <s v="Portal"/>
    <s v="Medium"/>
    <s v="High"/>
    <n v="1"/>
    <n v="1"/>
    <x v="0"/>
    <x v="3"/>
    <n v="2025"/>
    <x v="0"/>
    <s v="Aug"/>
  </r>
  <r>
    <s v="TCK-1039"/>
    <d v="2025-07-26T00:00:00"/>
    <d v="2025-08-02T00:00:00"/>
    <x v="0"/>
    <s v="Closed"/>
    <x v="1"/>
    <x v="1"/>
    <s v="Agent J"/>
    <s v="Manila"/>
    <s v="Email"/>
    <s v="Low"/>
    <s v="Low"/>
    <n v="7"/>
    <n v="7"/>
    <x v="0"/>
    <x v="2"/>
    <n v="2025"/>
    <x v="0"/>
    <s v="Aug"/>
  </r>
  <r>
    <s v="TCK-1040"/>
    <d v="2025-12-30T00:00:00"/>
    <m/>
    <x v="3"/>
    <s v="In Progress"/>
    <x v="0"/>
    <x v="2"/>
    <s v="Agent J"/>
    <s v="Cebu"/>
    <s v="Chat"/>
    <s v="Medium"/>
    <s v="High"/>
    <s v=""/>
    <n v="5"/>
    <x v="2"/>
    <x v="8"/>
    <n v="2025"/>
    <x v="1"/>
    <s v="Open"/>
  </r>
  <r>
    <s v="TCK-1041"/>
    <d v="2025-03-16T00:00:00"/>
    <d v="2025-03-19T00:00:00"/>
    <x v="3"/>
    <s v="Resolved"/>
    <x v="2"/>
    <x v="3"/>
    <s v="Agent O"/>
    <s v="BGC"/>
    <s v="Chat"/>
    <s v="Medium"/>
    <s v="Medium"/>
    <n v="3"/>
    <n v="5"/>
    <x v="0"/>
    <x v="11"/>
    <n v="2025"/>
    <x v="0"/>
    <s v="Mar"/>
  </r>
  <r>
    <s v="TCK-1042"/>
    <d v="2025-12-24T00:00:00"/>
    <m/>
    <x v="2"/>
    <s v="In Progress"/>
    <x v="6"/>
    <x v="3"/>
    <s v="Agent E"/>
    <s v="Makati"/>
    <s v="Portal"/>
    <s v="High"/>
    <s v="Medium"/>
    <s v=""/>
    <n v="1"/>
    <x v="2"/>
    <x v="8"/>
    <n v="2025"/>
    <x v="1"/>
    <s v="Open"/>
  </r>
  <r>
    <s v="TCK-1043"/>
    <d v="2025-08-22T00:00:00"/>
    <m/>
    <x v="0"/>
    <s v="Open"/>
    <x v="7"/>
    <x v="3"/>
    <s v="Agent K"/>
    <s v="BGC"/>
    <s v="Chat"/>
    <s v="Low"/>
    <s v="High"/>
    <s v=""/>
    <n v="7"/>
    <x v="2"/>
    <x v="3"/>
    <n v="2025"/>
    <x v="1"/>
    <s v="Open"/>
  </r>
  <r>
    <s v="TCK-1044"/>
    <d v="2025-05-01T00:00:00"/>
    <d v="2025-05-04T00:00:00"/>
    <x v="1"/>
    <s v="Closed"/>
    <x v="0"/>
    <x v="4"/>
    <s v="Agent L"/>
    <s v="Davao"/>
    <s v="Chat"/>
    <s v="Low"/>
    <s v="Low"/>
    <n v="3"/>
    <n v="3"/>
    <x v="0"/>
    <x v="9"/>
    <n v="2025"/>
    <x v="0"/>
    <s v="May"/>
  </r>
  <r>
    <s v="TCK-1045"/>
    <d v="2025-03-29T00:00:00"/>
    <m/>
    <x v="0"/>
    <s v="In Progress"/>
    <x v="3"/>
    <x v="3"/>
    <s v="Agent A"/>
    <s v="BGC"/>
    <s v="Phone"/>
    <s v="High"/>
    <s v="Medium"/>
    <s v=""/>
    <n v="7"/>
    <x v="2"/>
    <x v="11"/>
    <n v="2025"/>
    <x v="1"/>
    <s v="Open"/>
  </r>
  <r>
    <s v="TCK-1046"/>
    <d v="2025-10-28T00:00:00"/>
    <d v="2025-10-28T00:00:00"/>
    <x v="0"/>
    <s v="Resolved"/>
    <x v="5"/>
    <x v="1"/>
    <s v="Unassigned"/>
    <s v="BGC"/>
    <s v="Email"/>
    <s v="Low"/>
    <s v="Low"/>
    <n v="0"/>
    <n v="7"/>
    <x v="0"/>
    <x v="4"/>
    <n v="2025"/>
    <x v="0"/>
    <s v="Oct"/>
  </r>
  <r>
    <s v="TCK-1046"/>
    <d v="2025-12-28T00:00:00"/>
    <d v="2026-01-01T00:00:00"/>
    <x v="0"/>
    <s v="Closed"/>
    <x v="3"/>
    <x v="2"/>
    <s v="Agent B"/>
    <s v="Davao"/>
    <s v="Email"/>
    <s v="Low"/>
    <s v="Medium"/>
    <n v="4"/>
    <n v="7"/>
    <x v="0"/>
    <x v="8"/>
    <n v="2025"/>
    <x v="0"/>
    <s v="Jan"/>
  </r>
  <r>
    <s v="TCK-1047"/>
    <d v="2025-01-26T00:00:00"/>
    <d v="2025-01-30T00:00:00"/>
    <x v="0"/>
    <s v="Closed"/>
    <x v="1"/>
    <x v="2"/>
    <s v="Agent B"/>
    <s v="Manila"/>
    <s v="Portal"/>
    <s v="Low"/>
    <s v="High"/>
    <n v="4"/>
    <n v="7"/>
    <x v="0"/>
    <x v="0"/>
    <n v="2025"/>
    <x v="0"/>
    <s v="Jan"/>
  </r>
  <r>
    <s v="TCK-1048"/>
    <d v="2025-06-01T00:00:00"/>
    <d v="2025-06-02T00:00:00"/>
    <x v="0"/>
    <s v="Resolved"/>
    <x v="2"/>
    <x v="1"/>
    <s v="Agent K"/>
    <s v="Manila"/>
    <s v="Phone"/>
    <s v="High"/>
    <s v="Low"/>
    <n v="1"/>
    <n v="7"/>
    <x v="0"/>
    <x v="6"/>
    <n v="2025"/>
    <x v="0"/>
    <s v="Jun"/>
  </r>
  <r>
    <s v="TCK-1049"/>
    <d v="2025-07-23T00:00:00"/>
    <d v="2025-07-28T00:00:00"/>
    <x v="3"/>
    <s v="Closed"/>
    <x v="1"/>
    <x v="1"/>
    <s v="Agent H"/>
    <s v="Davao"/>
    <s v="Phone"/>
    <s v="Low"/>
    <s v="High"/>
    <n v="5"/>
    <n v="5"/>
    <x v="0"/>
    <x v="2"/>
    <n v="2025"/>
    <x v="0"/>
    <s v="Jul"/>
  </r>
  <r>
    <s v="TCK-1050"/>
    <d v="2025-08-26T00:00:00"/>
    <d v="2025-08-27T00:00:00"/>
    <x v="1"/>
    <s v="Closed"/>
    <x v="5"/>
    <x v="1"/>
    <s v="Agent R"/>
    <s v="Cebu"/>
    <s v="Email"/>
    <s v="Medium"/>
    <s v="Low"/>
    <n v="1"/>
    <n v="3"/>
    <x v="0"/>
    <x v="3"/>
    <n v="2025"/>
    <x v="0"/>
    <s v="Aug"/>
  </r>
  <r>
    <s v="TCK-1051"/>
    <d v="2025-05-24T00:00:00"/>
    <m/>
    <x v="2"/>
    <s v="Open"/>
    <x v="3"/>
    <x v="1"/>
    <s v="Agent I"/>
    <s v="Iloilo"/>
    <s v="Chat"/>
    <s v="High"/>
    <s v="Low"/>
    <s v=""/>
    <n v="1"/>
    <x v="2"/>
    <x v="9"/>
    <n v="2025"/>
    <x v="1"/>
    <s v="Open"/>
  </r>
  <r>
    <s v="TCK-1052"/>
    <d v="2025-11-24T00:00:00"/>
    <d v="2025-11-25T00:00:00"/>
    <x v="2"/>
    <s v="Resolved"/>
    <x v="3"/>
    <x v="2"/>
    <s v="Agent E"/>
    <s v="BGC"/>
    <s v="Phone"/>
    <s v="High"/>
    <s v="Low"/>
    <n v="1"/>
    <n v="1"/>
    <x v="0"/>
    <x v="1"/>
    <n v="2025"/>
    <x v="0"/>
    <s v="Nov"/>
  </r>
  <r>
    <s v="TCK-1053"/>
    <d v="2025-03-31T00:00:00"/>
    <m/>
    <x v="2"/>
    <s v="Open"/>
    <x v="1"/>
    <x v="4"/>
    <s v="Agent N"/>
    <s v="Cebu"/>
    <s v="Chat"/>
    <s v="Medium"/>
    <s v="Low"/>
    <s v=""/>
    <n v="1"/>
    <x v="2"/>
    <x v="11"/>
    <n v="2025"/>
    <x v="1"/>
    <s v="Open"/>
  </r>
  <r>
    <s v="TCK-1054"/>
    <d v="2025-08-20T00:00:00"/>
    <d v="2025-08-20T00:00:00"/>
    <x v="2"/>
    <s v="Resolved"/>
    <x v="4"/>
    <x v="3"/>
    <s v="Agent O"/>
    <s v="BGC"/>
    <s v="Phone"/>
    <s v="High"/>
    <s v="High"/>
    <n v="0"/>
    <n v="1"/>
    <x v="0"/>
    <x v="3"/>
    <n v="2025"/>
    <x v="0"/>
    <s v="Aug"/>
  </r>
  <r>
    <s v="TCK-1055"/>
    <d v="2025-11-21T00:00:00"/>
    <d v="2025-11-23T00:00:00"/>
    <x v="1"/>
    <s v="Resolved"/>
    <x v="6"/>
    <x v="0"/>
    <s v="Agent G"/>
    <s v="Cebu"/>
    <s v="Portal"/>
    <s v="Medium"/>
    <s v="Medium"/>
    <n v="2"/>
    <n v="3"/>
    <x v="0"/>
    <x v="1"/>
    <n v="2025"/>
    <x v="0"/>
    <s v="Nov"/>
  </r>
  <r>
    <s v="TCK-1056"/>
    <d v="2025-02-18T00:00:00"/>
    <d v="2025-02-20T00:00:00"/>
    <x v="3"/>
    <s v="Resolved"/>
    <x v="0"/>
    <x v="1"/>
    <s v="Agent R"/>
    <s v="Clark"/>
    <s v="Email"/>
    <s v="Medium"/>
    <s v="Medium"/>
    <n v="2"/>
    <n v="5"/>
    <x v="0"/>
    <x v="5"/>
    <n v="2025"/>
    <x v="0"/>
    <s v="Feb"/>
  </r>
  <r>
    <s v="TCK-1057"/>
    <d v="2025-08-05T00:00:00"/>
    <d v="2025-08-06T00:00:00"/>
    <x v="0"/>
    <s v="Closed"/>
    <x v="3"/>
    <x v="0"/>
    <s v="Agent I"/>
    <s v="Iloilo"/>
    <s v="Email"/>
    <s v="Low"/>
    <s v="Low"/>
    <n v="1"/>
    <n v="7"/>
    <x v="0"/>
    <x v="3"/>
    <n v="2025"/>
    <x v="0"/>
    <s v="Aug"/>
  </r>
  <r>
    <s v="TCK-1058"/>
    <d v="2025-05-17T00:00:00"/>
    <m/>
    <x v="1"/>
    <s v="Open"/>
    <x v="1"/>
    <x v="4"/>
    <s v="Agent A"/>
    <s v="Cebu"/>
    <s v="Chat"/>
    <s v="Medium"/>
    <s v="Medium"/>
    <s v=""/>
    <n v="3"/>
    <x v="2"/>
    <x v="9"/>
    <n v="2025"/>
    <x v="1"/>
    <s v="Open"/>
  </r>
  <r>
    <s v="TCK-1059"/>
    <d v="2025-06-09T00:00:00"/>
    <d v="2025-06-10T00:00:00"/>
    <x v="0"/>
    <s v="Closed"/>
    <x v="0"/>
    <x v="1"/>
    <s v="Agent Q"/>
    <s v="Manila"/>
    <s v="Portal"/>
    <s v="Low"/>
    <s v="Low"/>
    <n v="1"/>
    <n v="7"/>
    <x v="0"/>
    <x v="6"/>
    <n v="2025"/>
    <x v="0"/>
    <s v="Jun"/>
  </r>
  <r>
    <s v="TCK-1060"/>
    <d v="2025-09-27T00:00:00"/>
    <d v="2025-09-30T00:00:00"/>
    <x v="1"/>
    <s v="Closed"/>
    <x v="3"/>
    <x v="3"/>
    <s v="Agent F"/>
    <s v="Davao"/>
    <s v="Portal"/>
    <s v="High"/>
    <s v="Medium"/>
    <n v="3"/>
    <n v="3"/>
    <x v="0"/>
    <x v="10"/>
    <n v="2025"/>
    <x v="0"/>
    <s v="Sep"/>
  </r>
  <r>
    <s v="TCK-1061"/>
    <d v="2025-01-22T00:00:00"/>
    <d v="2025-01-23T00:00:00"/>
    <x v="2"/>
    <s v="Resolved"/>
    <x v="6"/>
    <x v="0"/>
    <s v="Agent L"/>
    <s v="Makati"/>
    <s v="Chat"/>
    <s v="Low"/>
    <s v="Medium"/>
    <n v="1"/>
    <n v="1"/>
    <x v="0"/>
    <x v="0"/>
    <n v="2025"/>
    <x v="0"/>
    <s v="Jan"/>
  </r>
  <r>
    <s v="TCK-1062"/>
    <d v="2025-07-22T00:00:00"/>
    <d v="2025-07-24T00:00:00"/>
    <x v="1"/>
    <s v="Closed"/>
    <x v="3"/>
    <x v="2"/>
    <s v="Agent E"/>
    <s v="Davao"/>
    <s v="Phone"/>
    <s v="Low"/>
    <s v="High"/>
    <n v="2"/>
    <n v="3"/>
    <x v="0"/>
    <x v="2"/>
    <n v="2025"/>
    <x v="0"/>
    <s v="Jul"/>
  </r>
  <r>
    <s v="TCK-1063"/>
    <d v="2025-11-18T00:00:00"/>
    <d v="2025-11-18T00:00:00"/>
    <x v="3"/>
    <s v="Resolved"/>
    <x v="1"/>
    <x v="3"/>
    <s v="Agent I"/>
    <s v="Davao"/>
    <s v="Email"/>
    <s v="Medium"/>
    <s v="Medium"/>
    <n v="0"/>
    <n v="5"/>
    <x v="0"/>
    <x v="1"/>
    <n v="2025"/>
    <x v="0"/>
    <s v="Nov"/>
  </r>
  <r>
    <s v="TCK-1064"/>
    <d v="2025-01-30T00:00:00"/>
    <d v="2025-01-30T00:00:00"/>
    <x v="3"/>
    <s v="Resolved"/>
    <x v="6"/>
    <x v="3"/>
    <s v="Agent S"/>
    <s v="Davao"/>
    <s v="Chat"/>
    <s v="Low"/>
    <s v="High"/>
    <n v="0"/>
    <n v="5"/>
    <x v="0"/>
    <x v="0"/>
    <n v="2025"/>
    <x v="0"/>
    <s v="Jan"/>
  </r>
  <r>
    <s v="TCK-1065"/>
    <d v="2025-08-19T00:00:00"/>
    <m/>
    <x v="3"/>
    <s v="Open"/>
    <x v="0"/>
    <x v="3"/>
    <s v="Agent T"/>
    <s v="BGC"/>
    <s v="Chat"/>
    <s v="Medium"/>
    <s v="Medium"/>
    <s v=""/>
    <n v="5"/>
    <x v="2"/>
    <x v="3"/>
    <n v="2025"/>
    <x v="1"/>
    <s v="Open"/>
  </r>
  <r>
    <s v="TCK-1066"/>
    <d v="2025-01-27T00:00:00"/>
    <d v="2025-01-28T00:00:00"/>
    <x v="0"/>
    <s v="Closed"/>
    <x v="7"/>
    <x v="3"/>
    <s v="Agent C"/>
    <s v="Clark"/>
    <s v="Portal"/>
    <s v="High"/>
    <s v="Low"/>
    <n v="1"/>
    <n v="7"/>
    <x v="0"/>
    <x v="0"/>
    <n v="2025"/>
    <x v="0"/>
    <s v="Jan"/>
  </r>
  <r>
    <s v="TCK-1067"/>
    <d v="2025-12-17T00:00:00"/>
    <d v="2025-12-17T00:00:00"/>
    <x v="2"/>
    <s v="Closed"/>
    <x v="7"/>
    <x v="2"/>
    <s v="Agent J"/>
    <s v="Davao"/>
    <s v="Email"/>
    <s v="Low"/>
    <s v="Medium"/>
    <n v="0"/>
    <n v="1"/>
    <x v="0"/>
    <x v="8"/>
    <n v="2025"/>
    <x v="0"/>
    <s v="Dec"/>
  </r>
  <r>
    <s v="TCK-1068"/>
    <d v="2025-11-13T00:00:00"/>
    <m/>
    <x v="1"/>
    <s v="In Progress"/>
    <x v="7"/>
    <x v="3"/>
    <s v="Agent O"/>
    <s v="BGC"/>
    <s v="Chat"/>
    <s v="High"/>
    <s v="Medium"/>
    <s v=""/>
    <n v="3"/>
    <x v="2"/>
    <x v="1"/>
    <n v="2025"/>
    <x v="1"/>
    <s v="Open"/>
  </r>
  <r>
    <s v="TCK-1069"/>
    <d v="2025-10-20T00:00:00"/>
    <d v="2025-10-20T00:00:00"/>
    <x v="2"/>
    <s v="Closed"/>
    <x v="7"/>
    <x v="3"/>
    <s v="Agent R"/>
    <s v="BGC"/>
    <s v="Email"/>
    <s v="High"/>
    <s v="Medium"/>
    <n v="0"/>
    <n v="1"/>
    <x v="0"/>
    <x v="4"/>
    <n v="2025"/>
    <x v="0"/>
    <s v="Oct"/>
  </r>
  <r>
    <s v="TCK-1070"/>
    <d v="2025-09-20T00:00:00"/>
    <m/>
    <x v="2"/>
    <s v="In Progress"/>
    <x v="3"/>
    <x v="3"/>
    <s v="Agent H"/>
    <s v="BGC"/>
    <s v="Phone"/>
    <s v="High"/>
    <s v="Medium"/>
    <s v=""/>
    <n v="1"/>
    <x v="2"/>
    <x v="10"/>
    <n v="2025"/>
    <x v="1"/>
    <s v="Open"/>
  </r>
  <r>
    <s v="TCK-1071"/>
    <d v="2025-11-29T00:00:00"/>
    <d v="2025-12-08T00:00:00"/>
    <x v="0"/>
    <s v="Resolved"/>
    <x v="7"/>
    <x v="4"/>
    <s v="Agent E"/>
    <s v="Manila"/>
    <s v="Portal"/>
    <s v="High"/>
    <s v="Medium"/>
    <n v="9"/>
    <n v="7"/>
    <x v="1"/>
    <x v="1"/>
    <n v="2025"/>
    <x v="0"/>
    <s v="Dec"/>
  </r>
  <r>
    <s v="TCK-1072"/>
    <d v="2025-05-03T00:00:00"/>
    <d v="2025-05-06T00:00:00"/>
    <x v="3"/>
    <s v="Resolved"/>
    <x v="3"/>
    <x v="0"/>
    <s v="Agent C"/>
    <s v="Manila"/>
    <s v="Email"/>
    <s v="Medium"/>
    <s v="Medium"/>
    <n v="3"/>
    <n v="5"/>
    <x v="0"/>
    <x v="9"/>
    <n v="2025"/>
    <x v="0"/>
    <s v="May"/>
  </r>
  <r>
    <s v="TCK-1073"/>
    <d v="2025-07-18T00:00:00"/>
    <d v="2025-07-19T00:00:00"/>
    <x v="0"/>
    <s v="Closed"/>
    <x v="0"/>
    <x v="0"/>
    <s v="Agent F"/>
    <s v="Clark"/>
    <s v="Chat"/>
    <s v="Low"/>
    <s v="High"/>
    <n v="1"/>
    <n v="7"/>
    <x v="0"/>
    <x v="2"/>
    <n v="2025"/>
    <x v="0"/>
    <s v="Jul"/>
  </r>
  <r>
    <s v="TCK-1074"/>
    <d v="2025-02-02T00:00:00"/>
    <d v="2025-02-03T00:00:00"/>
    <x v="3"/>
    <s v="Closed"/>
    <x v="1"/>
    <x v="1"/>
    <s v="Unassigned"/>
    <s v="BGC"/>
    <s v="Email"/>
    <s v="Low"/>
    <s v="Medium"/>
    <n v="1"/>
    <n v="5"/>
    <x v="0"/>
    <x v="5"/>
    <n v="2025"/>
    <x v="0"/>
    <s v="Feb"/>
  </r>
  <r>
    <s v="TCK-1074"/>
    <d v="2025-08-17T00:00:00"/>
    <m/>
    <x v="3"/>
    <s v="Open"/>
    <x v="1"/>
    <x v="4"/>
    <s v="Agent O"/>
    <s v="Cebu"/>
    <s v="Phone"/>
    <s v="Medium"/>
    <s v="High"/>
    <s v=""/>
    <n v="5"/>
    <x v="2"/>
    <x v="3"/>
    <n v="2025"/>
    <x v="1"/>
    <s v="Open"/>
  </r>
  <r>
    <s v="TCK-1075"/>
    <d v="2025-07-08T00:00:00"/>
    <d v="2025-07-08T00:00:00"/>
    <x v="1"/>
    <s v="Resolved"/>
    <x v="5"/>
    <x v="4"/>
    <s v="Agent C"/>
    <s v="Davao"/>
    <s v="Portal"/>
    <s v="Medium"/>
    <s v="High"/>
    <n v="0"/>
    <n v="3"/>
    <x v="0"/>
    <x v="2"/>
    <n v="2025"/>
    <x v="0"/>
    <s v="Jul"/>
  </r>
  <r>
    <s v="TCK-1076"/>
    <d v="2025-12-05T00:00:00"/>
    <d v="2025-12-05T00:00:00"/>
    <x v="1"/>
    <s v="Resolved"/>
    <x v="4"/>
    <x v="4"/>
    <s v="Agent M"/>
    <s v="Manila"/>
    <s v="Phone"/>
    <s v="Low"/>
    <s v="Low"/>
    <n v="0"/>
    <n v="3"/>
    <x v="0"/>
    <x v="8"/>
    <n v="2025"/>
    <x v="0"/>
    <s v="Dec"/>
  </r>
  <r>
    <s v="TCK-1077"/>
    <d v="2025-01-18T00:00:00"/>
    <m/>
    <x v="3"/>
    <s v="In Progress"/>
    <x v="1"/>
    <x v="1"/>
    <s v="Agent C"/>
    <s v="Cebu"/>
    <s v="Portal"/>
    <s v="Low"/>
    <s v="Medium"/>
    <s v=""/>
    <n v="5"/>
    <x v="2"/>
    <x v="0"/>
    <n v="2025"/>
    <x v="1"/>
    <s v="Open"/>
  </r>
  <r>
    <s v="TCK-1078"/>
    <d v="2025-02-28T00:00:00"/>
    <m/>
    <x v="1"/>
    <s v="Open"/>
    <x v="0"/>
    <x v="1"/>
    <s v="Agent P"/>
    <s v="Iloilo"/>
    <s v="Email"/>
    <s v="Medium"/>
    <s v="High"/>
    <s v=""/>
    <n v="3"/>
    <x v="2"/>
    <x v="5"/>
    <n v="2025"/>
    <x v="1"/>
    <s v="Open"/>
  </r>
  <r>
    <s v="TCK-1079"/>
    <d v="2025-08-16T00:00:00"/>
    <d v="2025-08-16T00:00:00"/>
    <x v="1"/>
    <s v="Closed"/>
    <x v="2"/>
    <x v="1"/>
    <s v="Agent D"/>
    <s v="Makati"/>
    <s v="Chat"/>
    <s v="High"/>
    <s v="Medium"/>
    <n v="0"/>
    <n v="3"/>
    <x v="0"/>
    <x v="3"/>
    <n v="2025"/>
    <x v="0"/>
    <s v="Aug"/>
  </r>
  <r>
    <s v="TCK-1080"/>
    <d v="2025-07-08T00:00:00"/>
    <d v="2025-07-13T00:00:00"/>
    <x v="3"/>
    <s v="Resolved"/>
    <x v="5"/>
    <x v="1"/>
    <s v="Agent O"/>
    <s v="Makati"/>
    <s v="Phone"/>
    <s v="High"/>
    <s v="Medium"/>
    <n v="5"/>
    <n v="5"/>
    <x v="0"/>
    <x v="2"/>
    <n v="2025"/>
    <x v="0"/>
    <s v="Jul"/>
  </r>
  <r>
    <s v="TCK-1081"/>
    <d v="2025-01-29T00:00:00"/>
    <d v="2025-02-01T00:00:00"/>
    <x v="1"/>
    <s v="Closed"/>
    <x v="2"/>
    <x v="2"/>
    <s v="Agent T"/>
    <s v="Davao"/>
    <s v="Phone"/>
    <s v="High"/>
    <s v="Low"/>
    <n v="3"/>
    <n v="3"/>
    <x v="0"/>
    <x v="0"/>
    <n v="2025"/>
    <x v="0"/>
    <s v="Feb"/>
  </r>
  <r>
    <s v="TCK-1082"/>
    <d v="2025-11-06T00:00:00"/>
    <d v="2025-11-08T00:00:00"/>
    <x v="3"/>
    <s v="Resolved"/>
    <x v="2"/>
    <x v="3"/>
    <s v="Agent R"/>
    <s v="Cebu"/>
    <s v="Phone"/>
    <s v="Low"/>
    <s v="Medium"/>
    <n v="2"/>
    <n v="5"/>
    <x v="0"/>
    <x v="1"/>
    <n v="2025"/>
    <x v="0"/>
    <s v="Nov"/>
  </r>
  <r>
    <s v="TCK-1083"/>
    <d v="2025-02-07T00:00:00"/>
    <d v="2025-02-08T00:00:00"/>
    <x v="2"/>
    <s v="Closed"/>
    <x v="1"/>
    <x v="3"/>
    <s v="Agent L"/>
    <s v="BGC"/>
    <s v="Phone"/>
    <s v="Medium"/>
    <s v="High"/>
    <n v="1"/>
    <n v="1"/>
    <x v="0"/>
    <x v="5"/>
    <n v="2025"/>
    <x v="0"/>
    <s v="Feb"/>
  </r>
  <r>
    <s v="TCK-1084"/>
    <d v="2025-05-07T00:00:00"/>
    <m/>
    <x v="0"/>
    <s v="In Progress"/>
    <x v="6"/>
    <x v="0"/>
    <s v="Agent G"/>
    <s v="Davao"/>
    <s v="Chat"/>
    <s v="Medium"/>
    <s v="Medium"/>
    <s v=""/>
    <n v="7"/>
    <x v="2"/>
    <x v="9"/>
    <n v="2025"/>
    <x v="1"/>
    <s v="Open"/>
  </r>
  <r>
    <s v="TCK-1085"/>
    <d v="2025-02-16T00:00:00"/>
    <d v="2025-02-16T00:00:00"/>
    <x v="3"/>
    <s v="Closed"/>
    <x v="5"/>
    <x v="4"/>
    <s v="Agent N"/>
    <s v="Clark"/>
    <s v="Portal"/>
    <s v="Medium"/>
    <s v="Medium"/>
    <n v="0"/>
    <n v="5"/>
    <x v="0"/>
    <x v="5"/>
    <n v="2025"/>
    <x v="0"/>
    <s v="Feb"/>
  </r>
  <r>
    <s v="TCK-1086"/>
    <d v="2025-01-27T00:00:00"/>
    <d v="2025-01-27T00:00:00"/>
    <x v="3"/>
    <s v="Resolved"/>
    <x v="2"/>
    <x v="4"/>
    <s v="Agent K"/>
    <s v="Iloilo"/>
    <s v="Phone"/>
    <s v="High"/>
    <s v="Low"/>
    <n v="0"/>
    <n v="5"/>
    <x v="0"/>
    <x v="0"/>
    <n v="2025"/>
    <x v="0"/>
    <s v="Jan"/>
  </r>
  <r>
    <s v="TCK-1087"/>
    <d v="2025-09-14T00:00:00"/>
    <m/>
    <x v="3"/>
    <s v="Open"/>
    <x v="5"/>
    <x v="0"/>
    <s v="Agent M"/>
    <s v="Davao"/>
    <s v="Portal"/>
    <s v="Low"/>
    <s v="Low"/>
    <s v=""/>
    <n v="5"/>
    <x v="2"/>
    <x v="10"/>
    <n v="2025"/>
    <x v="1"/>
    <s v="Open"/>
  </r>
  <r>
    <s v="TCK-1088"/>
    <d v="2025-12-29T00:00:00"/>
    <d v="2025-12-29T00:00:00"/>
    <x v="2"/>
    <s v="Resolved"/>
    <x v="2"/>
    <x v="5"/>
    <s v="Agent S"/>
    <s v="Davao"/>
    <s v="Chat"/>
    <s v="High"/>
    <s v="Low"/>
    <n v="0"/>
    <n v="1"/>
    <x v="0"/>
    <x v="8"/>
    <n v="2025"/>
    <x v="0"/>
    <s v="Dec"/>
  </r>
  <r>
    <s v="TCK-1089"/>
    <d v="2025-11-14T00:00:00"/>
    <d v="2025-11-14T00:00:00"/>
    <x v="2"/>
    <s v="Closed"/>
    <x v="0"/>
    <x v="2"/>
    <s v="Agent T"/>
    <s v="Clark"/>
    <s v="Phone"/>
    <s v="Low"/>
    <s v="High"/>
    <n v="0"/>
    <n v="1"/>
    <x v="0"/>
    <x v="1"/>
    <n v="2025"/>
    <x v="0"/>
    <s v="Nov"/>
  </r>
  <r>
    <s v="TCK-1090"/>
    <d v="2025-12-06T00:00:00"/>
    <d v="2025-12-09T00:00:00"/>
    <x v="3"/>
    <s v="Resolved"/>
    <x v="1"/>
    <x v="1"/>
    <s v="Agent G"/>
    <s v="Davao"/>
    <s v="Portal"/>
    <s v="High"/>
    <s v="Medium"/>
    <n v="3"/>
    <n v="5"/>
    <x v="0"/>
    <x v="8"/>
    <n v="2025"/>
    <x v="0"/>
    <s v="Dec"/>
  </r>
  <r>
    <s v="TCK-1091"/>
    <d v="2025-12-27T00:00:00"/>
    <m/>
    <x v="0"/>
    <s v="In Progress"/>
    <x v="1"/>
    <x v="0"/>
    <s v="Agent M"/>
    <s v="Iloilo"/>
    <s v="Portal"/>
    <s v="High"/>
    <s v="Medium"/>
    <s v=""/>
    <n v="7"/>
    <x v="2"/>
    <x v="8"/>
    <n v="2025"/>
    <x v="1"/>
    <s v="Open"/>
  </r>
  <r>
    <s v="TCK-1092"/>
    <d v="2025-02-10T00:00:00"/>
    <d v="2025-02-18T00:00:00"/>
    <x v="1"/>
    <s v="Resolved"/>
    <x v="2"/>
    <x v="0"/>
    <s v="Agent B"/>
    <s v="Clark"/>
    <s v="Phone"/>
    <s v="High"/>
    <s v="High"/>
    <n v="8"/>
    <n v="3"/>
    <x v="1"/>
    <x v="5"/>
    <n v="2025"/>
    <x v="0"/>
    <s v="Feb"/>
  </r>
  <r>
    <s v="TCK-1093"/>
    <d v="2025-08-30T00:00:00"/>
    <m/>
    <x v="2"/>
    <s v="Open"/>
    <x v="7"/>
    <x v="2"/>
    <s v="Agent J"/>
    <s v="Iloilo"/>
    <s v="Email"/>
    <s v="Low"/>
    <s v="Low"/>
    <s v=""/>
    <n v="1"/>
    <x v="2"/>
    <x v="3"/>
    <n v="2025"/>
    <x v="1"/>
    <s v="Open"/>
  </r>
  <r>
    <s v="TCK-1094"/>
    <d v="2025-01-20T00:00:00"/>
    <d v="2025-01-20T00:00:00"/>
    <x v="2"/>
    <s v="Closed"/>
    <x v="6"/>
    <x v="1"/>
    <s v="Agent A"/>
    <s v="BGC"/>
    <s v="Portal"/>
    <s v="Medium"/>
    <s v="Low"/>
    <n v="0"/>
    <n v="1"/>
    <x v="0"/>
    <x v="0"/>
    <n v="2025"/>
    <x v="0"/>
    <s v="Jan"/>
  </r>
  <r>
    <s v="TCK-1095"/>
    <d v="2025-09-10T00:00:00"/>
    <d v="2025-09-13T00:00:00"/>
    <x v="1"/>
    <s v="Closed"/>
    <x v="7"/>
    <x v="5"/>
    <s v="Agent J"/>
    <s v="Makati"/>
    <s v="Chat"/>
    <s v="Medium"/>
    <s v="Low"/>
    <n v="3"/>
    <n v="3"/>
    <x v="0"/>
    <x v="10"/>
    <n v="2025"/>
    <x v="0"/>
    <s v="Sep"/>
  </r>
  <r>
    <s v="TCK-1096"/>
    <d v="2025-07-25T00:00:00"/>
    <d v="2025-07-29T00:00:00"/>
    <x v="1"/>
    <s v="Closed"/>
    <x v="6"/>
    <x v="0"/>
    <s v="Unassigned"/>
    <s v="Manila"/>
    <s v="Email"/>
    <s v="Medium"/>
    <s v="Medium"/>
    <n v="4"/>
    <n v="3"/>
    <x v="1"/>
    <x v="2"/>
    <n v="2025"/>
    <x v="0"/>
    <s v="Jul"/>
  </r>
  <r>
    <s v="TCK-1097"/>
    <d v="2025-12-18T00:00:00"/>
    <d v="2025-12-21T00:00:00"/>
    <x v="1"/>
    <s v="Resolved"/>
    <x v="3"/>
    <x v="0"/>
    <s v="Agent R"/>
    <s v="Iloilo"/>
    <s v="Phone"/>
    <s v="Low"/>
    <s v="Low"/>
    <n v="3"/>
    <n v="3"/>
    <x v="0"/>
    <x v="8"/>
    <n v="2025"/>
    <x v="0"/>
    <s v="Dec"/>
  </r>
  <r>
    <s v="TCK-1098"/>
    <d v="2025-02-11T00:00:00"/>
    <d v="2025-02-17T00:00:00"/>
    <x v="0"/>
    <s v="Resolved"/>
    <x v="3"/>
    <x v="4"/>
    <s v="Agent S"/>
    <s v="Iloilo"/>
    <s v="Email"/>
    <s v="Medium"/>
    <s v="High"/>
    <n v="6"/>
    <n v="7"/>
    <x v="0"/>
    <x v="5"/>
    <n v="2025"/>
    <x v="0"/>
    <s v="Feb"/>
  </r>
  <r>
    <s v="TCK-1099"/>
    <d v="2025-08-22T00:00:00"/>
    <d v="2025-08-23T00:00:00"/>
    <x v="2"/>
    <s v="Resolved"/>
    <x v="4"/>
    <x v="4"/>
    <s v="Agent B"/>
    <s v="Cebu"/>
    <s v="Email"/>
    <s v="Medium"/>
    <s v="Medium"/>
    <n v="1"/>
    <n v="1"/>
    <x v="0"/>
    <x v="3"/>
    <n v="2025"/>
    <x v="0"/>
    <s v="Aug"/>
  </r>
  <r>
    <s v="TCK-1100"/>
    <d v="2025-03-11T00:00:00"/>
    <d v="2025-03-12T00:00:00"/>
    <x v="1"/>
    <s v="Closed"/>
    <x v="6"/>
    <x v="1"/>
    <s v="Agent R"/>
    <s v="Clark"/>
    <s v="Phone"/>
    <s v="High"/>
    <s v="High"/>
    <n v="1"/>
    <n v="3"/>
    <x v="0"/>
    <x v="11"/>
    <n v="2025"/>
    <x v="0"/>
    <s v="Mar"/>
  </r>
  <r>
    <s v="TCK-1101"/>
    <d v="2025-08-26T00:00:00"/>
    <d v="2025-08-27T00:00:00"/>
    <x v="2"/>
    <s v="Closed"/>
    <x v="2"/>
    <x v="3"/>
    <s v="Agent A"/>
    <s v="Manila"/>
    <s v="Email"/>
    <s v="Medium"/>
    <s v="Low"/>
    <n v="1"/>
    <n v="1"/>
    <x v="0"/>
    <x v="3"/>
    <n v="2025"/>
    <x v="0"/>
    <s v="Aug"/>
  </r>
  <r>
    <s v="TCK-1102"/>
    <d v="2025-01-25T00:00:00"/>
    <m/>
    <x v="3"/>
    <s v="In Progress"/>
    <x v="3"/>
    <x v="2"/>
    <s v="Agent S"/>
    <s v="Makati"/>
    <s v="Portal"/>
    <s v="High"/>
    <s v="Low"/>
    <s v=""/>
    <n v="5"/>
    <x v="2"/>
    <x v="0"/>
    <n v="2025"/>
    <x v="1"/>
    <s v="Open"/>
  </r>
  <r>
    <s v="TCK-1103"/>
    <d v="2025-07-31T00:00:00"/>
    <d v="2025-08-02T00:00:00"/>
    <x v="0"/>
    <s v="Resolved"/>
    <x v="6"/>
    <x v="3"/>
    <s v="Agent K"/>
    <s v="Makati"/>
    <s v="Portal"/>
    <s v="Medium"/>
    <s v="High"/>
    <n v="2"/>
    <n v="7"/>
    <x v="0"/>
    <x v="2"/>
    <n v="2025"/>
    <x v="0"/>
    <s v="Aug"/>
  </r>
  <r>
    <s v="TCK-1104"/>
    <d v="2025-08-31T00:00:00"/>
    <m/>
    <x v="1"/>
    <s v="In Progress"/>
    <x v="7"/>
    <x v="0"/>
    <s v="Agent M"/>
    <s v="BGC"/>
    <s v="Email"/>
    <s v="Medium"/>
    <s v="Medium"/>
    <s v=""/>
    <n v="3"/>
    <x v="2"/>
    <x v="3"/>
    <n v="2025"/>
    <x v="1"/>
    <s v="Open"/>
  </r>
  <r>
    <s v="TCK-1105"/>
    <d v="2025-04-08T00:00:00"/>
    <m/>
    <x v="3"/>
    <s v="Open"/>
    <x v="4"/>
    <x v="0"/>
    <s v="Agent G"/>
    <s v="BGC"/>
    <s v="Email"/>
    <s v="High"/>
    <s v="High"/>
    <s v=""/>
    <n v="5"/>
    <x v="2"/>
    <x v="7"/>
    <n v="2025"/>
    <x v="1"/>
    <s v="Open"/>
  </r>
  <r>
    <s v="TCK-1106"/>
    <d v="2025-03-02T00:00:00"/>
    <d v="2025-03-04T00:00:00"/>
    <x v="0"/>
    <s v="Closed"/>
    <x v="3"/>
    <x v="1"/>
    <s v="Agent L"/>
    <s v="Cebu"/>
    <s v="Email"/>
    <s v="Low"/>
    <s v="Medium"/>
    <n v="2"/>
    <n v="7"/>
    <x v="0"/>
    <x v="11"/>
    <n v="2025"/>
    <x v="0"/>
    <s v="Mar"/>
  </r>
  <r>
    <s v="TCK-1107"/>
    <d v="2025-06-13T00:00:00"/>
    <d v="2025-06-15T00:00:00"/>
    <x v="1"/>
    <s v="Closed"/>
    <x v="4"/>
    <x v="2"/>
    <s v="Agent H"/>
    <s v="Cebu"/>
    <s v="Portal"/>
    <s v="Medium"/>
    <s v="Medium"/>
    <n v="2"/>
    <n v="3"/>
    <x v="0"/>
    <x v="6"/>
    <n v="2025"/>
    <x v="0"/>
    <s v="Jun"/>
  </r>
  <r>
    <s v="TCK-1108"/>
    <d v="2025-11-25T00:00:00"/>
    <d v="2025-11-27T00:00:00"/>
    <x v="2"/>
    <s v="Closed"/>
    <x v="5"/>
    <x v="0"/>
    <s v="Unassigned"/>
    <s v="Iloilo"/>
    <s v="Email"/>
    <s v="Medium"/>
    <s v="High"/>
    <n v="2"/>
    <n v="1"/>
    <x v="1"/>
    <x v="1"/>
    <n v="2025"/>
    <x v="0"/>
    <s v="Nov"/>
  </r>
  <r>
    <s v="TCK-1109"/>
    <d v="2025-04-29T00:00:00"/>
    <m/>
    <x v="0"/>
    <s v="Open"/>
    <x v="5"/>
    <x v="3"/>
    <s v="Agent A"/>
    <s v="Manila"/>
    <s v="Email"/>
    <s v="Low"/>
    <s v="Low"/>
    <s v=""/>
    <n v="7"/>
    <x v="2"/>
    <x v="7"/>
    <n v="2025"/>
    <x v="1"/>
    <s v="Open"/>
  </r>
  <r>
    <s v="TCK-1110"/>
    <d v="2025-05-27T00:00:00"/>
    <m/>
    <x v="0"/>
    <s v="Open"/>
    <x v="7"/>
    <x v="0"/>
    <s v="Agent L"/>
    <s v="Manila"/>
    <s v="Portal"/>
    <s v="Medium"/>
    <s v="Medium"/>
    <s v=""/>
    <n v="7"/>
    <x v="2"/>
    <x v="9"/>
    <n v="2025"/>
    <x v="1"/>
    <s v="Open"/>
  </r>
  <r>
    <s v="TCK-1111"/>
    <d v="2025-12-23T00:00:00"/>
    <m/>
    <x v="0"/>
    <s v="In Progress"/>
    <x v="4"/>
    <x v="4"/>
    <s v="Agent C"/>
    <s v="Clark"/>
    <s v="Portal"/>
    <s v="Low"/>
    <s v="High"/>
    <s v=""/>
    <n v="7"/>
    <x v="2"/>
    <x v="8"/>
    <n v="2025"/>
    <x v="1"/>
    <s v="Open"/>
  </r>
  <r>
    <s v="TCK-1112"/>
    <d v="2025-01-22T00:00:00"/>
    <m/>
    <x v="3"/>
    <s v="In Progress"/>
    <x v="5"/>
    <x v="0"/>
    <s v="Agent B"/>
    <s v="Manila"/>
    <s v="Phone"/>
    <s v="Low"/>
    <s v="High"/>
    <s v=""/>
    <n v="5"/>
    <x v="2"/>
    <x v="0"/>
    <n v="2025"/>
    <x v="1"/>
    <s v="Open"/>
  </r>
  <r>
    <s v="TCK-1113"/>
    <d v="2025-12-31T00:00:00"/>
    <d v="2026-01-07T00:00:00"/>
    <x v="0"/>
    <s v="Closed"/>
    <x v="1"/>
    <x v="4"/>
    <s v="Agent L"/>
    <s v="Makati"/>
    <s v="Email"/>
    <s v="Medium"/>
    <s v="Low"/>
    <n v="7"/>
    <n v="7"/>
    <x v="0"/>
    <x v="8"/>
    <n v="2025"/>
    <x v="0"/>
    <s v="Jan"/>
  </r>
  <r>
    <s v="TCK-1114"/>
    <d v="2025-11-01T00:00:00"/>
    <d v="2025-11-03T00:00:00"/>
    <x v="1"/>
    <s v="Resolved"/>
    <x v="1"/>
    <x v="3"/>
    <s v="Agent T"/>
    <s v="Clark"/>
    <s v="Email"/>
    <s v="High"/>
    <s v="Medium"/>
    <n v="2"/>
    <n v="3"/>
    <x v="0"/>
    <x v="1"/>
    <n v="2025"/>
    <x v="0"/>
    <s v="Nov"/>
  </r>
  <r>
    <s v="TCK-1115"/>
    <d v="2025-12-31T00:00:00"/>
    <d v="2026-01-04T00:00:00"/>
    <x v="2"/>
    <s v="Closed"/>
    <x v="2"/>
    <x v="3"/>
    <s v="Agent R"/>
    <s v="Manila"/>
    <s v="Email"/>
    <s v="Medium"/>
    <s v="Low"/>
    <n v="4"/>
    <n v="1"/>
    <x v="1"/>
    <x v="8"/>
    <n v="2025"/>
    <x v="0"/>
    <s v="Jan"/>
  </r>
  <r>
    <s v="TCK-1116"/>
    <d v="2025-11-03T00:00:00"/>
    <d v="2025-11-05T00:00:00"/>
    <x v="0"/>
    <s v="Closed"/>
    <x v="3"/>
    <x v="1"/>
    <s v="Agent E"/>
    <s v="BGC"/>
    <s v="Chat"/>
    <s v="Medium"/>
    <s v="Medium"/>
    <n v="2"/>
    <n v="7"/>
    <x v="0"/>
    <x v="1"/>
    <n v="2025"/>
    <x v="0"/>
    <s v="Nov"/>
  </r>
  <r>
    <s v="TCK-1117"/>
    <d v="2025-07-04T00:00:00"/>
    <m/>
    <x v="0"/>
    <s v="In Progress"/>
    <x v="3"/>
    <x v="0"/>
    <s v="Agent K"/>
    <s v="Iloilo"/>
    <s v="Phone"/>
    <s v="Medium"/>
    <s v="Medium"/>
    <s v=""/>
    <n v="7"/>
    <x v="2"/>
    <x v="2"/>
    <n v="2025"/>
    <x v="1"/>
    <s v="Open"/>
  </r>
  <r>
    <s v="TCK-1118"/>
    <d v="2025-12-22T00:00:00"/>
    <m/>
    <x v="0"/>
    <s v="In Progress"/>
    <x v="1"/>
    <x v="2"/>
    <s v="Agent I"/>
    <s v="BGC"/>
    <s v="Email"/>
    <s v="Low"/>
    <s v="High"/>
    <s v=""/>
    <n v="7"/>
    <x v="2"/>
    <x v="8"/>
    <n v="2025"/>
    <x v="1"/>
    <s v="Open"/>
  </r>
  <r>
    <s v="TCK-1119"/>
    <d v="2025-10-07T00:00:00"/>
    <m/>
    <x v="1"/>
    <s v="In Progress"/>
    <x v="5"/>
    <x v="4"/>
    <s v="Agent N"/>
    <s v="Clark"/>
    <s v="Portal"/>
    <s v="High"/>
    <s v="Medium"/>
    <s v=""/>
    <n v="3"/>
    <x v="2"/>
    <x v="4"/>
    <n v="2025"/>
    <x v="1"/>
    <s v="Open"/>
  </r>
  <r>
    <s v="TCK-1120"/>
    <d v="2025-08-05T00:00:00"/>
    <d v="2025-08-07T00:00:00"/>
    <x v="1"/>
    <s v="Closed"/>
    <x v="6"/>
    <x v="0"/>
    <s v="Agent C"/>
    <s v="Clark"/>
    <s v="Portal"/>
    <s v="High"/>
    <s v="Low"/>
    <n v="2"/>
    <n v="3"/>
    <x v="0"/>
    <x v="3"/>
    <n v="2025"/>
    <x v="0"/>
    <s v="Aug"/>
  </r>
  <r>
    <s v="TCK-1121"/>
    <d v="2025-10-16T00:00:00"/>
    <d v="2025-10-20T00:00:00"/>
    <x v="1"/>
    <s v="Closed"/>
    <x v="0"/>
    <x v="0"/>
    <s v="Agent L"/>
    <s v="BGC"/>
    <s v="Email"/>
    <s v="Medium"/>
    <s v="High"/>
    <n v="4"/>
    <n v="3"/>
    <x v="1"/>
    <x v="4"/>
    <n v="2025"/>
    <x v="0"/>
    <s v="Oct"/>
  </r>
  <r>
    <s v="TCK-1122"/>
    <d v="2025-02-13T00:00:00"/>
    <m/>
    <x v="3"/>
    <s v="Open"/>
    <x v="2"/>
    <x v="4"/>
    <s v="Agent O"/>
    <s v="Manila"/>
    <s v="Email"/>
    <s v="High"/>
    <s v="Medium"/>
    <s v=""/>
    <n v="5"/>
    <x v="2"/>
    <x v="5"/>
    <n v="2025"/>
    <x v="1"/>
    <s v="Open"/>
  </r>
  <r>
    <s v="TCK-1123"/>
    <d v="2025-12-13T00:00:00"/>
    <d v="2025-12-19T00:00:00"/>
    <x v="0"/>
    <s v="Closed"/>
    <x v="5"/>
    <x v="3"/>
    <s v="Agent T"/>
    <s v="Davao"/>
    <s v="Chat"/>
    <s v="Medium"/>
    <s v="High"/>
    <n v="6"/>
    <n v="7"/>
    <x v="0"/>
    <x v="8"/>
    <n v="2025"/>
    <x v="0"/>
    <s v="Dec"/>
  </r>
  <r>
    <s v="TCK-1124"/>
    <d v="2025-04-16T00:00:00"/>
    <d v="2025-04-16T00:00:00"/>
    <x v="2"/>
    <s v="Resolved"/>
    <x v="3"/>
    <x v="1"/>
    <s v="Agent T"/>
    <s v="BGC"/>
    <s v="Portal"/>
    <s v="Medium"/>
    <s v="Low"/>
    <n v="0"/>
    <n v="1"/>
    <x v="0"/>
    <x v="7"/>
    <n v="2025"/>
    <x v="0"/>
    <s v="Apr"/>
  </r>
  <r>
    <s v="TCK-1125"/>
    <d v="2025-12-11T00:00:00"/>
    <d v="2025-12-11T00:00:00"/>
    <x v="1"/>
    <s v="Closed"/>
    <x v="3"/>
    <x v="3"/>
    <s v="Agent S"/>
    <s v="Cebu"/>
    <s v="Phone"/>
    <s v="Low"/>
    <s v="High"/>
    <n v="0"/>
    <n v="3"/>
    <x v="0"/>
    <x v="8"/>
    <n v="2025"/>
    <x v="0"/>
    <s v="Dec"/>
  </r>
  <r>
    <s v="TCK-1126"/>
    <d v="2025-03-13T00:00:00"/>
    <m/>
    <x v="0"/>
    <s v="In Progress"/>
    <x v="1"/>
    <x v="0"/>
    <s v="Agent P"/>
    <s v="Cebu"/>
    <s v="Chat"/>
    <s v="Medium"/>
    <s v="High"/>
    <s v=""/>
    <n v="7"/>
    <x v="2"/>
    <x v="11"/>
    <n v="2025"/>
    <x v="1"/>
    <s v="Open"/>
  </r>
  <r>
    <s v="TCK-1127"/>
    <d v="2025-01-16T00:00:00"/>
    <d v="2025-01-19T00:00:00"/>
    <x v="3"/>
    <s v="Closed"/>
    <x v="5"/>
    <x v="0"/>
    <s v="Agent R"/>
    <s v="Davao"/>
    <s v="Email"/>
    <s v="Low"/>
    <s v="Medium"/>
    <n v="3"/>
    <n v="5"/>
    <x v="0"/>
    <x v="0"/>
    <n v="2025"/>
    <x v="0"/>
    <s v="Jan"/>
  </r>
  <r>
    <s v="TCK-1128"/>
    <d v="2025-08-06T00:00:00"/>
    <m/>
    <x v="1"/>
    <s v="Open"/>
    <x v="2"/>
    <x v="4"/>
    <s v="Agent D"/>
    <s v="Makati"/>
    <s v="Portal"/>
    <s v="Low"/>
    <s v="Low"/>
    <s v=""/>
    <n v="3"/>
    <x v="2"/>
    <x v="3"/>
    <n v="2025"/>
    <x v="1"/>
    <s v="Open"/>
  </r>
  <r>
    <s v="TCK-1129"/>
    <d v="2025-03-26T00:00:00"/>
    <d v="2025-04-01T00:00:00"/>
    <x v="0"/>
    <s v="Closed"/>
    <x v="7"/>
    <x v="0"/>
    <s v="Agent D"/>
    <s v="Manila"/>
    <s v="Portal"/>
    <s v="Low"/>
    <s v="High"/>
    <n v="6"/>
    <n v="7"/>
    <x v="0"/>
    <x v="11"/>
    <n v="2025"/>
    <x v="0"/>
    <s v="Apr"/>
  </r>
  <r>
    <s v="TCK-1130"/>
    <d v="2025-03-09T00:00:00"/>
    <m/>
    <x v="3"/>
    <s v="In Progress"/>
    <x v="6"/>
    <x v="3"/>
    <s v="Agent C"/>
    <s v="Clark"/>
    <s v="Portal"/>
    <s v="Medium"/>
    <s v="Medium"/>
    <s v=""/>
    <n v="5"/>
    <x v="2"/>
    <x v="11"/>
    <n v="2025"/>
    <x v="1"/>
    <s v="Open"/>
  </r>
  <r>
    <s v="TCK-1131"/>
    <d v="2025-01-02T00:00:00"/>
    <d v="2025-01-03T00:00:00"/>
    <x v="1"/>
    <s v="Closed"/>
    <x v="0"/>
    <x v="3"/>
    <s v="Agent J"/>
    <s v="Davao"/>
    <s v="Chat"/>
    <s v="Medium"/>
    <s v="Low"/>
    <n v="1"/>
    <n v="3"/>
    <x v="0"/>
    <x v="0"/>
    <n v="2025"/>
    <x v="0"/>
    <s v="Jan"/>
  </r>
  <r>
    <s v="TCK-1132"/>
    <d v="2025-01-24T00:00:00"/>
    <m/>
    <x v="3"/>
    <s v="Open"/>
    <x v="0"/>
    <x v="3"/>
    <s v="Agent E"/>
    <s v="Makati"/>
    <s v="Portal"/>
    <s v="High"/>
    <s v="Low"/>
    <s v=""/>
    <n v="5"/>
    <x v="2"/>
    <x v="0"/>
    <n v="2025"/>
    <x v="1"/>
    <s v="Open"/>
  </r>
  <r>
    <s v="TCK-1133"/>
    <d v="2025-02-12T00:00:00"/>
    <d v="2025-02-13T00:00:00"/>
    <x v="2"/>
    <s v="Resolved"/>
    <x v="6"/>
    <x v="2"/>
    <s v="Agent Q"/>
    <s v="Manila"/>
    <s v="Portal"/>
    <s v="High"/>
    <s v="Medium"/>
    <n v="1"/>
    <n v="1"/>
    <x v="0"/>
    <x v="5"/>
    <n v="2025"/>
    <x v="0"/>
    <s v="Feb"/>
  </r>
  <r>
    <s v="TCK-1134"/>
    <d v="2025-09-02T00:00:00"/>
    <m/>
    <x v="2"/>
    <s v="Open"/>
    <x v="0"/>
    <x v="2"/>
    <s v="Agent E"/>
    <s v="Davao"/>
    <s v="Phone"/>
    <s v="Medium"/>
    <s v="Medium"/>
    <s v=""/>
    <n v="1"/>
    <x v="2"/>
    <x v="10"/>
    <n v="2025"/>
    <x v="1"/>
    <s v="Open"/>
  </r>
  <r>
    <s v="TCK-1135"/>
    <d v="2025-11-18T00:00:00"/>
    <d v="2025-11-21T00:00:00"/>
    <x v="2"/>
    <s v="Closed"/>
    <x v="7"/>
    <x v="1"/>
    <s v="Agent H"/>
    <s v="Makati"/>
    <s v="Portal"/>
    <s v="Low"/>
    <s v="High"/>
    <n v="3"/>
    <n v="1"/>
    <x v="1"/>
    <x v="1"/>
    <n v="2025"/>
    <x v="0"/>
    <s v="Nov"/>
  </r>
  <r>
    <s v="TCK-1136"/>
    <d v="2025-12-04T00:00:00"/>
    <d v="2025-12-10T00:00:00"/>
    <x v="2"/>
    <s v="Closed"/>
    <x v="4"/>
    <x v="2"/>
    <s v="Agent T"/>
    <s v="BGC"/>
    <s v="Portal"/>
    <s v="High"/>
    <s v="Medium"/>
    <n v="6"/>
    <n v="1"/>
    <x v="1"/>
    <x v="8"/>
    <n v="2025"/>
    <x v="0"/>
    <s v="Dec"/>
  </r>
  <r>
    <s v="TCK-1137"/>
    <d v="2025-10-19T00:00:00"/>
    <d v="2025-10-21T00:00:00"/>
    <x v="0"/>
    <s v="Resolved"/>
    <x v="0"/>
    <x v="3"/>
    <s v="Agent Q"/>
    <s v="Clark"/>
    <s v="Chat"/>
    <s v="High"/>
    <s v="Low"/>
    <n v="2"/>
    <n v="7"/>
    <x v="0"/>
    <x v="4"/>
    <n v="2025"/>
    <x v="0"/>
    <s v="Oct"/>
  </r>
  <r>
    <s v="TCK-1138"/>
    <d v="2025-11-12T00:00:00"/>
    <m/>
    <x v="1"/>
    <s v="In Progress"/>
    <x v="3"/>
    <x v="4"/>
    <s v="Agent N"/>
    <s v="Manila"/>
    <s v="Phone"/>
    <s v="High"/>
    <s v="Medium"/>
    <s v=""/>
    <n v="3"/>
    <x v="2"/>
    <x v="1"/>
    <n v="2025"/>
    <x v="1"/>
    <s v="Open"/>
  </r>
  <r>
    <s v="TCK-1139"/>
    <d v="2025-11-10T00:00:00"/>
    <d v="2025-11-10T00:00:00"/>
    <x v="3"/>
    <s v="Closed"/>
    <x v="7"/>
    <x v="1"/>
    <s v="Agent E"/>
    <s v="Clark"/>
    <s v="Email"/>
    <s v="High"/>
    <s v="Medium"/>
    <n v="0"/>
    <n v="5"/>
    <x v="0"/>
    <x v="1"/>
    <n v="2025"/>
    <x v="0"/>
    <s v="Nov"/>
  </r>
  <r>
    <s v="TCK-1140"/>
    <d v="2025-05-20T00:00:00"/>
    <d v="2025-05-21T00:00:00"/>
    <x v="2"/>
    <s v="Resolved"/>
    <x v="1"/>
    <x v="4"/>
    <s v="Agent D"/>
    <s v="Manila"/>
    <s v="Email"/>
    <s v="High"/>
    <s v="High"/>
    <n v="1"/>
    <n v="1"/>
    <x v="0"/>
    <x v="9"/>
    <n v="2025"/>
    <x v="0"/>
    <s v="May"/>
  </r>
  <r>
    <s v="TCK-1141"/>
    <d v="2025-07-16T00:00:00"/>
    <d v="2025-07-17T00:00:00"/>
    <x v="2"/>
    <s v="Closed"/>
    <x v="6"/>
    <x v="4"/>
    <s v="Agent D"/>
    <s v="Makati"/>
    <s v="Phone"/>
    <s v="Low"/>
    <s v="High"/>
    <n v="1"/>
    <n v="1"/>
    <x v="0"/>
    <x v="2"/>
    <n v="2025"/>
    <x v="0"/>
    <s v="Jul"/>
  </r>
  <r>
    <s v="TCK-1142"/>
    <d v="2025-02-05T00:00:00"/>
    <d v="2025-02-12T00:00:00"/>
    <x v="1"/>
    <s v="Closed"/>
    <x v="1"/>
    <x v="3"/>
    <s v="Agent P"/>
    <s v="Clark"/>
    <s v="Phone"/>
    <s v="High"/>
    <s v="High"/>
    <n v="7"/>
    <n v="3"/>
    <x v="1"/>
    <x v="5"/>
    <n v="2025"/>
    <x v="0"/>
    <s v="Feb"/>
  </r>
  <r>
    <s v="TCK-1143"/>
    <d v="2025-01-13T00:00:00"/>
    <m/>
    <x v="0"/>
    <s v="In Progress"/>
    <x v="4"/>
    <x v="1"/>
    <s v="Agent Q"/>
    <s v="Cebu"/>
    <s v="Email"/>
    <s v="High"/>
    <s v="Low"/>
    <s v=""/>
    <n v="7"/>
    <x v="2"/>
    <x v="0"/>
    <n v="2025"/>
    <x v="1"/>
    <s v="Open"/>
  </r>
  <r>
    <s v="TCK-1144"/>
    <d v="2025-01-23T00:00:00"/>
    <d v="2025-01-25T00:00:00"/>
    <x v="3"/>
    <s v="Closed"/>
    <x v="0"/>
    <x v="4"/>
    <s v="Agent E"/>
    <s v="Iloilo"/>
    <s v="Portal"/>
    <s v="Medium"/>
    <s v="Low"/>
    <n v="2"/>
    <n v="5"/>
    <x v="0"/>
    <x v="0"/>
    <n v="2025"/>
    <x v="0"/>
    <s v="Jan"/>
  </r>
  <r>
    <s v="TCK-1145"/>
    <d v="2025-06-17T00:00:00"/>
    <d v="2025-06-18T00:00:00"/>
    <x v="0"/>
    <s v="Resolved"/>
    <x v="0"/>
    <x v="0"/>
    <s v="Agent G"/>
    <s v="BGC"/>
    <s v="Email"/>
    <s v="High"/>
    <s v="High"/>
    <n v="1"/>
    <n v="7"/>
    <x v="0"/>
    <x v="6"/>
    <n v="2025"/>
    <x v="0"/>
    <s v="Jun"/>
  </r>
  <r>
    <s v="TCK-1146"/>
    <d v="2025-06-05T00:00:00"/>
    <d v="2025-06-10T00:00:00"/>
    <x v="0"/>
    <s v="Closed"/>
    <x v="1"/>
    <x v="2"/>
    <s v="Unassigned"/>
    <s v="Davao"/>
    <s v="Phone"/>
    <s v="High"/>
    <s v="Medium"/>
    <n v="5"/>
    <n v="7"/>
    <x v="0"/>
    <x v="6"/>
    <n v="2025"/>
    <x v="0"/>
    <s v="Jun"/>
  </r>
  <r>
    <s v="TCK-1147"/>
    <d v="2025-03-13T00:00:00"/>
    <m/>
    <x v="2"/>
    <s v="In Progress"/>
    <x v="3"/>
    <x v="4"/>
    <s v="Agent I"/>
    <s v="Manila"/>
    <s v="Email"/>
    <s v="High"/>
    <s v="Low"/>
    <s v=""/>
    <n v="1"/>
    <x v="2"/>
    <x v="11"/>
    <n v="2025"/>
    <x v="1"/>
    <s v="Open"/>
  </r>
  <r>
    <s v="TCK-1148"/>
    <d v="2025-03-07T00:00:00"/>
    <m/>
    <x v="1"/>
    <s v="Open"/>
    <x v="0"/>
    <x v="3"/>
    <s v="Agent M"/>
    <s v="BGC"/>
    <s v="Phone"/>
    <s v="High"/>
    <s v="Medium"/>
    <s v=""/>
    <n v="3"/>
    <x v="2"/>
    <x v="11"/>
    <n v="2025"/>
    <x v="1"/>
    <s v="Open"/>
  </r>
  <r>
    <s v="TCK-1149"/>
    <d v="2025-03-18T00:00:00"/>
    <m/>
    <x v="1"/>
    <s v="Open"/>
    <x v="2"/>
    <x v="3"/>
    <s v="Agent G"/>
    <s v="Clark"/>
    <s v="Email"/>
    <s v="Medium"/>
    <s v="Low"/>
    <s v=""/>
    <n v="3"/>
    <x v="2"/>
    <x v="11"/>
    <n v="2025"/>
    <x v="1"/>
    <s v="Open"/>
  </r>
  <r>
    <s v="TCK-1150"/>
    <d v="2025-10-06T00:00:00"/>
    <d v="2025-10-07T00:00:00"/>
    <x v="1"/>
    <s v="Closed"/>
    <x v="1"/>
    <x v="3"/>
    <s v="Agent S"/>
    <s v="Manila"/>
    <s v="Phone"/>
    <s v="Low"/>
    <s v="High"/>
    <n v="1"/>
    <n v="3"/>
    <x v="0"/>
    <x v="4"/>
    <n v="2025"/>
    <x v="0"/>
    <s v="Oct"/>
  </r>
  <r>
    <s v="TCK-1151"/>
    <d v="2025-01-29T00:00:00"/>
    <d v="2025-01-31T00:00:00"/>
    <x v="1"/>
    <s v="Closed"/>
    <x v="7"/>
    <x v="0"/>
    <s v="Unassigned"/>
    <s v="Davao"/>
    <s v="Phone"/>
    <s v="Medium"/>
    <s v="Low"/>
    <n v="2"/>
    <n v="3"/>
    <x v="0"/>
    <x v="0"/>
    <n v="2025"/>
    <x v="0"/>
    <s v="Jan"/>
  </r>
  <r>
    <s v="TCK-1152"/>
    <d v="2025-09-09T00:00:00"/>
    <m/>
    <x v="3"/>
    <s v="Open"/>
    <x v="4"/>
    <x v="2"/>
    <s v="Agent F"/>
    <s v="Manila"/>
    <s v="Email"/>
    <s v="High"/>
    <s v="Low"/>
    <s v=""/>
    <n v="5"/>
    <x v="2"/>
    <x v="10"/>
    <n v="2025"/>
    <x v="1"/>
    <s v="Open"/>
  </r>
  <r>
    <s v="TCK-1153"/>
    <d v="2025-03-14T00:00:00"/>
    <d v="2025-03-14T00:00:00"/>
    <x v="1"/>
    <s v="Closed"/>
    <x v="0"/>
    <x v="3"/>
    <s v="Agent P"/>
    <s v="Clark"/>
    <s v="Portal"/>
    <s v="High"/>
    <s v="Low"/>
    <n v="0"/>
    <n v="3"/>
    <x v="0"/>
    <x v="11"/>
    <n v="2025"/>
    <x v="0"/>
    <s v="Mar"/>
  </r>
  <r>
    <s v="TCK-1154"/>
    <d v="2025-03-31T00:00:00"/>
    <d v="2025-04-01T00:00:00"/>
    <x v="2"/>
    <s v="Resolved"/>
    <x v="6"/>
    <x v="1"/>
    <s v="Agent T"/>
    <s v="Cebu"/>
    <s v="Phone"/>
    <s v="Medium"/>
    <s v="Low"/>
    <n v="1"/>
    <n v="1"/>
    <x v="0"/>
    <x v="11"/>
    <n v="2025"/>
    <x v="0"/>
    <s v="Apr"/>
  </r>
  <r>
    <s v="TCK-1155"/>
    <d v="2025-06-27T00:00:00"/>
    <d v="2025-06-28T00:00:00"/>
    <x v="0"/>
    <s v="Closed"/>
    <x v="1"/>
    <x v="1"/>
    <s v="Agent A"/>
    <s v="Clark"/>
    <s v="Chat"/>
    <s v="High"/>
    <s v="Medium"/>
    <n v="1"/>
    <n v="7"/>
    <x v="0"/>
    <x v="6"/>
    <n v="2025"/>
    <x v="0"/>
    <s v="Jun"/>
  </r>
  <r>
    <s v="TCK-1156"/>
    <d v="2025-07-13T00:00:00"/>
    <d v="2025-07-15T00:00:00"/>
    <x v="1"/>
    <s v="Resolved"/>
    <x v="3"/>
    <x v="1"/>
    <s v="Agent D"/>
    <s v="Cebu"/>
    <s v="Phone"/>
    <s v="Low"/>
    <s v="High"/>
    <n v="2"/>
    <n v="3"/>
    <x v="0"/>
    <x v="2"/>
    <n v="2025"/>
    <x v="0"/>
    <s v="Jul"/>
  </r>
  <r>
    <s v="TCK-1157"/>
    <d v="2025-02-17T00:00:00"/>
    <d v="2025-02-19T00:00:00"/>
    <x v="3"/>
    <s v="Resolved"/>
    <x v="6"/>
    <x v="0"/>
    <s v="Agent R"/>
    <s v="BGC"/>
    <s v="Phone"/>
    <s v="High"/>
    <s v="High"/>
    <n v="2"/>
    <n v="5"/>
    <x v="0"/>
    <x v="5"/>
    <n v="2025"/>
    <x v="0"/>
    <s v="Feb"/>
  </r>
  <r>
    <s v="TCK-1158"/>
    <d v="2025-10-09T00:00:00"/>
    <d v="2025-10-16T00:00:00"/>
    <x v="0"/>
    <s v="Closed"/>
    <x v="5"/>
    <x v="4"/>
    <s v="Agent D"/>
    <s v="Cebu"/>
    <s v="Chat"/>
    <s v="Low"/>
    <s v="Medium"/>
    <n v="7"/>
    <n v="7"/>
    <x v="0"/>
    <x v="4"/>
    <n v="2025"/>
    <x v="0"/>
    <s v="Oct"/>
  </r>
  <r>
    <s v="TCK-1159"/>
    <d v="2025-10-06T00:00:00"/>
    <d v="2025-10-11T00:00:00"/>
    <x v="0"/>
    <s v="Resolved"/>
    <x v="5"/>
    <x v="4"/>
    <s v="Agent L"/>
    <s v="Iloilo"/>
    <s v="Phone"/>
    <s v="Low"/>
    <s v="High"/>
    <n v="5"/>
    <n v="7"/>
    <x v="0"/>
    <x v="4"/>
    <n v="2025"/>
    <x v="0"/>
    <s v="Oct"/>
  </r>
  <r>
    <s v="TCK-1160"/>
    <d v="2025-09-25T00:00:00"/>
    <d v="2025-09-28T00:00:00"/>
    <x v="1"/>
    <s v="Resolved"/>
    <x v="4"/>
    <x v="0"/>
    <s v="Agent O"/>
    <s v="Makati"/>
    <s v="Phone"/>
    <s v="High"/>
    <s v="High"/>
    <n v="3"/>
    <n v="3"/>
    <x v="0"/>
    <x v="10"/>
    <n v="2025"/>
    <x v="0"/>
    <s v="Sep"/>
  </r>
  <r>
    <s v="TCK-1161"/>
    <d v="2025-12-16T00:00:00"/>
    <d v="2025-12-20T00:00:00"/>
    <x v="0"/>
    <s v="Resolved"/>
    <x v="0"/>
    <x v="0"/>
    <s v="Agent A"/>
    <s v="Manila"/>
    <s v="Chat"/>
    <s v="High"/>
    <s v="High"/>
    <n v="4"/>
    <n v="7"/>
    <x v="0"/>
    <x v="8"/>
    <n v="2025"/>
    <x v="0"/>
    <s v="Dec"/>
  </r>
  <r>
    <s v="TCK-1162"/>
    <d v="2025-10-26T00:00:00"/>
    <d v="2025-10-31T00:00:00"/>
    <x v="1"/>
    <s v="Closed"/>
    <x v="1"/>
    <x v="3"/>
    <s v="Unassigned"/>
    <s v="Davao"/>
    <s v="Chat"/>
    <s v="High"/>
    <s v="Medium"/>
    <n v="5"/>
    <n v="3"/>
    <x v="1"/>
    <x v="4"/>
    <n v="2025"/>
    <x v="0"/>
    <s v="Oct"/>
  </r>
  <r>
    <s v="TCK-1163"/>
    <d v="2025-06-19T00:00:00"/>
    <d v="2025-06-20T00:00:00"/>
    <x v="3"/>
    <s v="Closed"/>
    <x v="2"/>
    <x v="2"/>
    <s v="Agent O"/>
    <s v="BGC"/>
    <s v="Chat"/>
    <s v="Low"/>
    <s v="Low"/>
    <n v="1"/>
    <n v="5"/>
    <x v="0"/>
    <x v="6"/>
    <n v="2025"/>
    <x v="0"/>
    <s v="Jun"/>
  </r>
  <r>
    <s v="TCK-1164"/>
    <d v="2025-08-15T00:00:00"/>
    <m/>
    <x v="2"/>
    <s v="In Progress"/>
    <x v="1"/>
    <x v="0"/>
    <s v="Agent Q"/>
    <s v="Makati"/>
    <s v="Phone"/>
    <s v="High"/>
    <s v="High"/>
    <s v=""/>
    <n v="1"/>
    <x v="2"/>
    <x v="3"/>
    <n v="2025"/>
    <x v="1"/>
    <s v="Open"/>
  </r>
  <r>
    <s v="TCK-1165"/>
    <d v="2025-08-22T00:00:00"/>
    <m/>
    <x v="1"/>
    <s v="Open"/>
    <x v="1"/>
    <x v="4"/>
    <s v="Agent P"/>
    <s v="Iloilo"/>
    <s v="Chat"/>
    <s v="Low"/>
    <s v="Low"/>
    <s v=""/>
    <n v="3"/>
    <x v="2"/>
    <x v="3"/>
    <n v="2025"/>
    <x v="1"/>
    <s v="Open"/>
  </r>
  <r>
    <s v="TCK-1166"/>
    <d v="2025-03-25T00:00:00"/>
    <d v="2025-03-27T00:00:00"/>
    <x v="2"/>
    <s v="Closed"/>
    <x v="7"/>
    <x v="2"/>
    <s v="Agent I"/>
    <s v="Iloilo"/>
    <s v="Email"/>
    <s v="Medium"/>
    <s v="High"/>
    <n v="2"/>
    <n v="1"/>
    <x v="1"/>
    <x v="11"/>
    <n v="2025"/>
    <x v="0"/>
    <s v="Mar"/>
  </r>
  <r>
    <s v="TCK-1167"/>
    <d v="2025-11-04T00:00:00"/>
    <d v="2025-11-11T00:00:00"/>
    <x v="0"/>
    <s v="Closed"/>
    <x v="2"/>
    <x v="3"/>
    <s v="Agent Q"/>
    <s v="Davao"/>
    <s v="Email"/>
    <s v="High"/>
    <s v="Low"/>
    <n v="7"/>
    <n v="7"/>
    <x v="0"/>
    <x v="1"/>
    <n v="2025"/>
    <x v="0"/>
    <s v="Nov"/>
  </r>
  <r>
    <s v="TCK-1168"/>
    <d v="2025-07-11T00:00:00"/>
    <d v="2025-07-11T00:00:00"/>
    <x v="2"/>
    <s v="Resolved"/>
    <x v="1"/>
    <x v="1"/>
    <s v="Agent Q"/>
    <s v="Iloilo"/>
    <s v="Chat"/>
    <s v="Low"/>
    <s v="Medium"/>
    <n v="0"/>
    <n v="1"/>
    <x v="0"/>
    <x v="2"/>
    <n v="2025"/>
    <x v="0"/>
    <s v="Jul"/>
  </r>
  <r>
    <s v="TCK-1169"/>
    <d v="2025-01-14T00:00:00"/>
    <d v="2025-01-19T00:00:00"/>
    <x v="1"/>
    <s v="Closed"/>
    <x v="3"/>
    <x v="3"/>
    <s v="Agent L"/>
    <s v="Iloilo"/>
    <s v="Phone"/>
    <s v="Medium"/>
    <s v="High"/>
    <n v="5"/>
    <n v="3"/>
    <x v="1"/>
    <x v="0"/>
    <n v="2025"/>
    <x v="0"/>
    <s v="Jan"/>
  </r>
  <r>
    <s v="TCK-1170"/>
    <d v="2025-05-13T00:00:00"/>
    <d v="2025-05-15T00:00:00"/>
    <x v="0"/>
    <s v="Closed"/>
    <x v="3"/>
    <x v="1"/>
    <s v="Agent O"/>
    <s v="Manila"/>
    <s v="Email"/>
    <s v="Medium"/>
    <s v="High"/>
    <n v="2"/>
    <n v="7"/>
    <x v="0"/>
    <x v="9"/>
    <n v="2025"/>
    <x v="0"/>
    <s v="May"/>
  </r>
  <r>
    <s v="TCK-1171"/>
    <d v="2025-12-15T00:00:00"/>
    <d v="2025-12-19T00:00:00"/>
    <x v="0"/>
    <s v="Resolved"/>
    <x v="1"/>
    <x v="1"/>
    <s v="Agent F"/>
    <s v="BGC"/>
    <s v="Phone"/>
    <s v="Medium"/>
    <s v="Low"/>
    <n v="4"/>
    <n v="7"/>
    <x v="0"/>
    <x v="8"/>
    <n v="2025"/>
    <x v="0"/>
    <s v="Dec"/>
  </r>
  <r>
    <s v="TCK-1172"/>
    <d v="2025-08-20T00:00:00"/>
    <d v="2025-08-24T00:00:00"/>
    <x v="3"/>
    <s v="Resolved"/>
    <x v="7"/>
    <x v="3"/>
    <s v="Unassigned"/>
    <s v="Manila"/>
    <s v="Portal"/>
    <s v="Low"/>
    <s v="High"/>
    <n v="4"/>
    <n v="5"/>
    <x v="0"/>
    <x v="3"/>
    <n v="2025"/>
    <x v="0"/>
    <s v="Aug"/>
  </r>
  <r>
    <s v="TCK-1172"/>
    <d v="2025-02-15T00:00:00"/>
    <d v="2025-02-16T00:00:00"/>
    <x v="2"/>
    <s v="Closed"/>
    <x v="0"/>
    <x v="1"/>
    <s v="Agent D"/>
    <s v="Iloilo"/>
    <s v="Portal"/>
    <s v="Medium"/>
    <s v="Low"/>
    <n v="1"/>
    <n v="1"/>
    <x v="0"/>
    <x v="5"/>
    <n v="2025"/>
    <x v="0"/>
    <s v="Feb"/>
  </r>
  <r>
    <s v="TCK-1174"/>
    <d v="2025-07-26T00:00:00"/>
    <m/>
    <x v="2"/>
    <s v="Open"/>
    <x v="3"/>
    <x v="4"/>
    <s v="Agent I"/>
    <s v="Davao"/>
    <s v="Email"/>
    <s v="Low"/>
    <s v="High"/>
    <s v=""/>
    <n v="1"/>
    <x v="2"/>
    <x v="2"/>
    <n v="2025"/>
    <x v="1"/>
    <s v="Open"/>
  </r>
  <r>
    <s v="TCK-1175"/>
    <d v="2025-01-11T00:00:00"/>
    <m/>
    <x v="3"/>
    <s v="Open"/>
    <x v="0"/>
    <x v="4"/>
    <s v="Agent D"/>
    <s v="Davao"/>
    <s v="Phone"/>
    <s v="Medium"/>
    <s v="High"/>
    <s v=""/>
    <n v="5"/>
    <x v="2"/>
    <x v="0"/>
    <n v="2025"/>
    <x v="1"/>
    <s v="Open"/>
  </r>
  <r>
    <s v="TCK-1176"/>
    <d v="2025-11-13T00:00:00"/>
    <m/>
    <x v="0"/>
    <s v="Open"/>
    <x v="3"/>
    <x v="1"/>
    <s v="Agent J"/>
    <s v="Makati"/>
    <s v="Chat"/>
    <s v="Medium"/>
    <s v="High"/>
    <s v=""/>
    <n v="7"/>
    <x v="2"/>
    <x v="1"/>
    <n v="2025"/>
    <x v="1"/>
    <s v="Open"/>
  </r>
  <r>
    <s v="TCK-1178"/>
    <d v="2025-03-01T00:00:00"/>
    <m/>
    <x v="3"/>
    <s v="Open"/>
    <x v="7"/>
    <x v="0"/>
    <s v="Agent C"/>
    <s v="Makati"/>
    <s v="Email"/>
    <s v="Medium"/>
    <s v="Medium"/>
    <s v=""/>
    <n v="5"/>
    <x v="2"/>
    <x v="11"/>
    <n v="2025"/>
    <x v="1"/>
    <s v="Open"/>
  </r>
  <r>
    <s v="TCK-1179"/>
    <d v="2025-05-20T00:00:00"/>
    <d v="2025-05-27T00:00:00"/>
    <x v="0"/>
    <s v="Closed"/>
    <x v="4"/>
    <x v="3"/>
    <s v="Agent O"/>
    <s v="Iloilo"/>
    <s v="Portal"/>
    <s v="Low"/>
    <s v="High"/>
    <n v="7"/>
    <n v="7"/>
    <x v="0"/>
    <x v="9"/>
    <n v="2025"/>
    <x v="0"/>
    <s v="May"/>
  </r>
  <r>
    <s v="TCK-1180"/>
    <d v="2025-03-08T00:00:00"/>
    <d v="2025-03-12T00:00:00"/>
    <x v="2"/>
    <s v="Resolved"/>
    <x v="0"/>
    <x v="0"/>
    <s v="Agent K"/>
    <s v="Cebu"/>
    <s v="Phone"/>
    <s v="Medium"/>
    <s v="Medium"/>
    <n v="4"/>
    <n v="1"/>
    <x v="1"/>
    <x v="11"/>
    <n v="2025"/>
    <x v="0"/>
    <s v="Mar"/>
  </r>
  <r>
    <s v="TCK-1181"/>
    <d v="2025-11-25T00:00:00"/>
    <d v="2025-11-28T00:00:00"/>
    <x v="0"/>
    <s v="Resolved"/>
    <x v="5"/>
    <x v="1"/>
    <s v="Agent H"/>
    <s v="Cebu"/>
    <s v="Phone"/>
    <s v="High"/>
    <s v="Medium"/>
    <n v="3"/>
    <n v="7"/>
    <x v="0"/>
    <x v="1"/>
    <n v="2025"/>
    <x v="0"/>
    <s v="Nov"/>
  </r>
  <r>
    <s v="TCK-1182"/>
    <d v="2025-10-21T00:00:00"/>
    <d v="2025-10-24T00:00:00"/>
    <x v="1"/>
    <s v="Resolved"/>
    <x v="0"/>
    <x v="0"/>
    <s v="Agent J"/>
    <s v="Clark"/>
    <s v="Chat"/>
    <s v="Medium"/>
    <s v="Medium"/>
    <n v="3"/>
    <n v="3"/>
    <x v="0"/>
    <x v="4"/>
    <n v="2025"/>
    <x v="0"/>
    <s v="Oct"/>
  </r>
  <r>
    <s v="TCK-1183"/>
    <d v="2025-04-25T00:00:00"/>
    <d v="2025-04-26T00:00:00"/>
    <x v="2"/>
    <s v="Closed"/>
    <x v="5"/>
    <x v="1"/>
    <s v="Agent L"/>
    <s v="Makati"/>
    <s v="Chat"/>
    <s v="High"/>
    <s v="Low"/>
    <n v="1"/>
    <n v="1"/>
    <x v="0"/>
    <x v="7"/>
    <n v="2025"/>
    <x v="0"/>
    <s v="Apr"/>
  </r>
  <r>
    <s v="TCK-1184"/>
    <d v="2025-07-29T00:00:00"/>
    <m/>
    <x v="0"/>
    <s v="Open"/>
    <x v="6"/>
    <x v="3"/>
    <s v="Agent S"/>
    <s v="Cebu"/>
    <s v="Phone"/>
    <s v="Medium"/>
    <s v="High"/>
    <s v=""/>
    <n v="7"/>
    <x v="2"/>
    <x v="2"/>
    <n v="2025"/>
    <x v="1"/>
    <s v="Open"/>
  </r>
  <r>
    <s v="TCK-1185"/>
    <d v="2025-01-25T00:00:00"/>
    <d v="2025-01-27T00:00:00"/>
    <x v="0"/>
    <s v="Resolved"/>
    <x v="7"/>
    <x v="0"/>
    <s v="Agent K"/>
    <s v="Cebu"/>
    <s v="Phone"/>
    <s v="Medium"/>
    <s v="Medium"/>
    <n v="2"/>
    <n v="7"/>
    <x v="0"/>
    <x v="0"/>
    <n v="2025"/>
    <x v="0"/>
    <s v="Jan"/>
  </r>
  <r>
    <s v="TCK-1186"/>
    <d v="2025-05-31T00:00:00"/>
    <d v="2025-06-01T00:00:00"/>
    <x v="1"/>
    <s v="Resolved"/>
    <x v="1"/>
    <x v="0"/>
    <s v="Agent L"/>
    <s v="Clark"/>
    <s v="Phone"/>
    <s v="Low"/>
    <s v="Low"/>
    <n v="1"/>
    <n v="3"/>
    <x v="0"/>
    <x v="9"/>
    <n v="2025"/>
    <x v="0"/>
    <s v="Jun"/>
  </r>
  <r>
    <s v="TCK-1187"/>
    <d v="2025-06-15T00:00:00"/>
    <d v="2025-06-15T00:00:00"/>
    <x v="1"/>
    <s v="Closed"/>
    <x v="2"/>
    <x v="3"/>
    <s v="Agent B"/>
    <s v="BGC"/>
    <s v="Portal"/>
    <s v="High"/>
    <s v="High"/>
    <n v="0"/>
    <n v="3"/>
    <x v="0"/>
    <x v="6"/>
    <n v="2025"/>
    <x v="0"/>
    <s v="Jun"/>
  </r>
  <r>
    <s v="TCK-1188"/>
    <d v="2025-06-01T00:00:00"/>
    <m/>
    <x v="3"/>
    <s v="In Progress"/>
    <x v="5"/>
    <x v="0"/>
    <s v="Agent Q"/>
    <s v="Clark"/>
    <s v="Email"/>
    <s v="Medium"/>
    <s v="Medium"/>
    <s v=""/>
    <n v="5"/>
    <x v="2"/>
    <x v="6"/>
    <n v="2025"/>
    <x v="1"/>
    <s v="Open"/>
  </r>
  <r>
    <s v="TCK-1189"/>
    <d v="2025-12-17T00:00:00"/>
    <d v="2025-12-18T00:00:00"/>
    <x v="1"/>
    <s v="Resolved"/>
    <x v="5"/>
    <x v="0"/>
    <s v="Agent T"/>
    <s v="BGC"/>
    <s v="Chat"/>
    <s v="High"/>
    <s v="Low"/>
    <n v="1"/>
    <n v="3"/>
    <x v="0"/>
    <x v="8"/>
    <n v="2025"/>
    <x v="0"/>
    <s v="Dec"/>
  </r>
  <r>
    <s v="TCK-1190"/>
    <d v="2025-03-30T00:00:00"/>
    <d v="2025-04-05T00:00:00"/>
    <x v="3"/>
    <s v="Closed"/>
    <x v="0"/>
    <x v="1"/>
    <s v="Agent T"/>
    <s v="Cebu"/>
    <s v="Portal"/>
    <s v="High"/>
    <s v="Low"/>
    <n v="6"/>
    <n v="5"/>
    <x v="1"/>
    <x v="11"/>
    <n v="2025"/>
    <x v="0"/>
    <s v="Apr"/>
  </r>
  <r>
    <s v="TCK-1191"/>
    <d v="2025-04-23T00:00:00"/>
    <d v="2025-04-26T00:00:00"/>
    <x v="2"/>
    <s v="Closed"/>
    <x v="1"/>
    <x v="2"/>
    <s v="Agent T"/>
    <s v="Manila"/>
    <s v="Portal"/>
    <s v="Medium"/>
    <s v="High"/>
    <n v="3"/>
    <n v="1"/>
    <x v="1"/>
    <x v="7"/>
    <n v="2025"/>
    <x v="0"/>
    <s v="Apr"/>
  </r>
  <r>
    <s v="TCK-1192"/>
    <d v="2025-11-11T00:00:00"/>
    <d v="2025-11-11T00:00:00"/>
    <x v="2"/>
    <s v="Closed"/>
    <x v="0"/>
    <x v="1"/>
    <s v="Agent Q"/>
    <s v="BGC"/>
    <s v="Phone"/>
    <s v="Medium"/>
    <s v="Low"/>
    <n v="0"/>
    <n v="1"/>
    <x v="0"/>
    <x v="1"/>
    <n v="2025"/>
    <x v="0"/>
    <s v="Nov"/>
  </r>
  <r>
    <s v="TCK-1193"/>
    <d v="2025-02-19T00:00:00"/>
    <m/>
    <x v="0"/>
    <s v="In Progress"/>
    <x v="4"/>
    <x v="3"/>
    <s v="Agent G"/>
    <s v="Clark"/>
    <s v="Email"/>
    <s v="Low"/>
    <s v="Low"/>
    <s v=""/>
    <n v="7"/>
    <x v="2"/>
    <x v="5"/>
    <n v="2025"/>
    <x v="1"/>
    <s v="Open"/>
  </r>
  <r>
    <s v="TCK-1194"/>
    <d v="2025-08-24T00:00:00"/>
    <d v="2025-08-30T00:00:00"/>
    <x v="2"/>
    <s v="Closed"/>
    <x v="3"/>
    <x v="1"/>
    <s v="Unassigned"/>
    <s v="Clark"/>
    <s v="Email"/>
    <s v="Low"/>
    <s v="Low"/>
    <n v="6"/>
    <n v="1"/>
    <x v="1"/>
    <x v="3"/>
    <n v="2025"/>
    <x v="0"/>
    <s v="Aug"/>
  </r>
  <r>
    <s v="TCK-1195"/>
    <d v="2025-02-07T00:00:00"/>
    <d v="2025-02-09T00:00:00"/>
    <x v="3"/>
    <s v="Resolved"/>
    <x v="5"/>
    <x v="2"/>
    <s v="Agent M"/>
    <s v="Clark"/>
    <s v="Phone"/>
    <s v="Medium"/>
    <s v="Low"/>
    <n v="2"/>
    <n v="5"/>
    <x v="0"/>
    <x v="5"/>
    <n v="2025"/>
    <x v="0"/>
    <s v="Feb"/>
  </r>
  <r>
    <s v="TCK-1196"/>
    <d v="2025-11-28T00:00:00"/>
    <d v="2025-11-29T00:00:00"/>
    <x v="1"/>
    <s v="Resolved"/>
    <x v="6"/>
    <x v="1"/>
    <s v="Agent Q"/>
    <s v="Makati"/>
    <s v="Portal"/>
    <s v="High"/>
    <s v="High"/>
    <n v="1"/>
    <n v="3"/>
    <x v="0"/>
    <x v="1"/>
    <n v="2025"/>
    <x v="0"/>
    <s v="Nov"/>
  </r>
  <r>
    <s v="TCK-1197"/>
    <d v="2025-10-18T00:00:00"/>
    <d v="2025-10-25T00:00:00"/>
    <x v="1"/>
    <s v="Closed"/>
    <x v="3"/>
    <x v="2"/>
    <s v="Agent T"/>
    <s v="BGC"/>
    <s v="Chat"/>
    <s v="Medium"/>
    <s v="Medium"/>
    <n v="7"/>
    <n v="3"/>
    <x v="1"/>
    <x v="4"/>
    <n v="2025"/>
    <x v="0"/>
    <s v="Oct"/>
  </r>
  <r>
    <s v="TCK-1198"/>
    <d v="2025-06-06T00:00:00"/>
    <d v="2025-06-09T00:00:00"/>
    <x v="3"/>
    <s v="Closed"/>
    <x v="4"/>
    <x v="1"/>
    <s v="Agent E"/>
    <s v="Cebu"/>
    <s v="Chat"/>
    <s v="Medium"/>
    <s v="Medium"/>
    <n v="3"/>
    <n v="5"/>
    <x v="0"/>
    <x v="6"/>
    <n v="2025"/>
    <x v="0"/>
    <s v="Jun"/>
  </r>
  <r>
    <s v="TCK-1199"/>
    <d v="2025-09-07T00:00:00"/>
    <d v="2025-09-12T00:00:00"/>
    <x v="0"/>
    <s v="Resolved"/>
    <x v="3"/>
    <x v="4"/>
    <s v="Agent A"/>
    <s v="Iloilo"/>
    <s v="Phone"/>
    <s v="High"/>
    <s v="Low"/>
    <n v="5"/>
    <n v="7"/>
    <x v="0"/>
    <x v="10"/>
    <n v="2025"/>
    <x v="0"/>
    <s v="Sep"/>
  </r>
  <r>
    <s v="TCK-1200"/>
    <d v="2025-10-04T00:00:00"/>
    <d v="2025-10-05T00:00:00"/>
    <x v="1"/>
    <s v="Resolved"/>
    <x v="2"/>
    <x v="4"/>
    <s v="Agent T"/>
    <s v="Cebu"/>
    <s v="Phone"/>
    <s v="High"/>
    <s v="Low"/>
    <n v="1"/>
    <n v="3"/>
    <x v="0"/>
    <x v="4"/>
    <n v="2025"/>
    <x v="0"/>
    <s v="Oct"/>
  </r>
  <r>
    <s v="TCK-1201"/>
    <d v="2025-12-04T00:00:00"/>
    <d v="2025-12-04T00:00:00"/>
    <x v="0"/>
    <s v="Closed"/>
    <x v="5"/>
    <x v="0"/>
    <s v="Agent L"/>
    <s v="Manila"/>
    <s v="Email"/>
    <s v="Low"/>
    <s v="Medium"/>
    <n v="0"/>
    <n v="7"/>
    <x v="0"/>
    <x v="8"/>
    <n v="2025"/>
    <x v="0"/>
    <s v="Dec"/>
  </r>
  <r>
    <s v="TCK-1202"/>
    <d v="2025-09-24T00:00:00"/>
    <d v="2025-09-24T00:00:00"/>
    <x v="3"/>
    <s v="Closed"/>
    <x v="6"/>
    <x v="3"/>
    <s v="Agent H"/>
    <s v="Iloilo"/>
    <s v="Portal"/>
    <s v="Medium"/>
    <s v="Medium"/>
    <n v="0"/>
    <n v="5"/>
    <x v="0"/>
    <x v="10"/>
    <n v="2025"/>
    <x v="0"/>
    <s v="Sep"/>
  </r>
  <r>
    <s v="TCK-1202"/>
    <d v="2025-05-11T00:00:00"/>
    <d v="2025-05-21T00:00:00"/>
    <x v="0"/>
    <s v="Resolved"/>
    <x v="1"/>
    <x v="4"/>
    <s v="Agent P"/>
    <s v="Iloilo"/>
    <s v="Portal"/>
    <s v="Low"/>
    <s v="Medium"/>
    <n v="10"/>
    <n v="7"/>
    <x v="1"/>
    <x v="9"/>
    <n v="2025"/>
    <x v="0"/>
    <s v="May"/>
  </r>
  <r>
    <s v="TCK-1203"/>
    <d v="2025-01-04T00:00:00"/>
    <d v="2025-01-13T00:00:00"/>
    <x v="0"/>
    <s v="Resolved"/>
    <x v="7"/>
    <x v="2"/>
    <s v="Agent K"/>
    <s v="Clark"/>
    <s v="Chat"/>
    <s v="Medium"/>
    <s v="High"/>
    <n v="9"/>
    <n v="7"/>
    <x v="1"/>
    <x v="0"/>
    <n v="2025"/>
    <x v="0"/>
    <s v="Jan"/>
  </r>
  <r>
    <s v="TCK-1203"/>
    <d v="2025-03-01T00:00:00"/>
    <m/>
    <x v="0"/>
    <s v="Open"/>
    <x v="6"/>
    <x v="0"/>
    <s v="Agent T"/>
    <s v="Iloilo"/>
    <s v="Portal"/>
    <s v="High"/>
    <s v="High"/>
    <s v=""/>
    <n v="7"/>
    <x v="2"/>
    <x v="11"/>
    <n v="2025"/>
    <x v="1"/>
    <s v="Open"/>
  </r>
  <r>
    <s v="TCK-1204"/>
    <d v="2025-11-28T00:00:00"/>
    <d v="2025-11-28T00:00:00"/>
    <x v="2"/>
    <s v="Closed"/>
    <x v="4"/>
    <x v="0"/>
    <s v="Agent T"/>
    <s v="Clark"/>
    <s v="Portal"/>
    <s v="High"/>
    <s v="High"/>
    <n v="0"/>
    <n v="1"/>
    <x v="0"/>
    <x v="1"/>
    <n v="2025"/>
    <x v="0"/>
    <s v="Nov"/>
  </r>
  <r>
    <s v="TCK-1205"/>
    <d v="2025-08-30T00:00:00"/>
    <d v="2025-09-01T00:00:00"/>
    <x v="0"/>
    <s v="Closed"/>
    <x v="7"/>
    <x v="3"/>
    <s v="Agent C"/>
    <s v="Makati"/>
    <s v="Email"/>
    <s v="High"/>
    <s v="High"/>
    <n v="2"/>
    <n v="7"/>
    <x v="0"/>
    <x v="3"/>
    <n v="2025"/>
    <x v="0"/>
    <s v="Sep"/>
  </r>
  <r>
    <s v="TCK-1206"/>
    <d v="2025-09-16T00:00:00"/>
    <d v="2025-09-21T00:00:00"/>
    <x v="3"/>
    <s v="Closed"/>
    <x v="0"/>
    <x v="4"/>
    <s v="Agent N"/>
    <s v="Iloilo"/>
    <s v="Email"/>
    <s v="Low"/>
    <s v="Low"/>
    <n v="5"/>
    <n v="5"/>
    <x v="0"/>
    <x v="10"/>
    <n v="2025"/>
    <x v="0"/>
    <s v="Sep"/>
  </r>
  <r>
    <s v="TCK-1207"/>
    <d v="2025-09-04T00:00:00"/>
    <d v="2025-09-04T00:00:00"/>
    <x v="1"/>
    <s v="Closed"/>
    <x v="0"/>
    <x v="4"/>
    <s v="Agent R"/>
    <s v="Manila"/>
    <s v="Email"/>
    <s v="Low"/>
    <s v="Low"/>
    <n v="0"/>
    <n v="3"/>
    <x v="0"/>
    <x v="10"/>
    <n v="2025"/>
    <x v="0"/>
    <s v="Sep"/>
  </r>
  <r>
    <s v="TCK-1208"/>
    <d v="2025-01-04T00:00:00"/>
    <d v="2025-01-08T00:00:00"/>
    <x v="0"/>
    <s v="Resolved"/>
    <x v="2"/>
    <x v="3"/>
    <s v="Agent N"/>
    <s v="Makati"/>
    <s v="Portal"/>
    <s v="Low"/>
    <s v="Low"/>
    <n v="4"/>
    <n v="7"/>
    <x v="0"/>
    <x v="0"/>
    <n v="2025"/>
    <x v="0"/>
    <s v="Jan"/>
  </r>
  <r>
    <s v="TCK-1209"/>
    <d v="2025-06-07T00:00:00"/>
    <d v="2025-06-07T00:00:00"/>
    <x v="2"/>
    <s v="Resolved"/>
    <x v="5"/>
    <x v="1"/>
    <s v="Agent T"/>
    <s v="Makati"/>
    <s v="Chat"/>
    <s v="Low"/>
    <s v="High"/>
    <n v="0"/>
    <n v="1"/>
    <x v="0"/>
    <x v="6"/>
    <n v="2025"/>
    <x v="0"/>
    <s v="Jun"/>
  </r>
  <r>
    <s v="TCK-1210"/>
    <d v="2025-03-16T00:00:00"/>
    <d v="2025-03-24T00:00:00"/>
    <x v="0"/>
    <s v="Resolved"/>
    <x v="6"/>
    <x v="0"/>
    <s v="Agent F"/>
    <s v="Manila"/>
    <s v="Phone"/>
    <s v="Low"/>
    <s v="Low"/>
    <n v="8"/>
    <n v="7"/>
    <x v="1"/>
    <x v="11"/>
    <n v="2025"/>
    <x v="0"/>
    <s v="Mar"/>
  </r>
  <r>
    <s v="TCK-1211"/>
    <d v="2025-01-18T00:00:00"/>
    <d v="2025-01-24T00:00:00"/>
    <x v="2"/>
    <s v="Closed"/>
    <x v="7"/>
    <x v="3"/>
    <s v="Agent Q"/>
    <s v="Manila"/>
    <s v="Portal"/>
    <s v="Low"/>
    <s v="Low"/>
    <n v="6"/>
    <n v="1"/>
    <x v="1"/>
    <x v="0"/>
    <n v="2025"/>
    <x v="0"/>
    <s v="Jan"/>
  </r>
  <r>
    <s v="TCK-1212"/>
    <d v="2025-06-28T00:00:00"/>
    <d v="2025-07-01T00:00:00"/>
    <x v="3"/>
    <s v="Resolved"/>
    <x v="4"/>
    <x v="1"/>
    <s v="Agent D"/>
    <s v="Davao"/>
    <s v="Portal"/>
    <s v="Low"/>
    <s v="Medium"/>
    <n v="3"/>
    <n v="5"/>
    <x v="0"/>
    <x v="6"/>
    <n v="2025"/>
    <x v="0"/>
    <s v="Jul"/>
  </r>
  <r>
    <s v="TCK-1213"/>
    <d v="2025-10-16T00:00:00"/>
    <d v="2025-10-18T00:00:00"/>
    <x v="0"/>
    <s v="Resolved"/>
    <x v="4"/>
    <x v="2"/>
    <s v="Agent H"/>
    <s v="BGC"/>
    <s v="Email"/>
    <s v="Low"/>
    <s v="Medium"/>
    <n v="2"/>
    <n v="7"/>
    <x v="0"/>
    <x v="4"/>
    <n v="2025"/>
    <x v="0"/>
    <s v="Oct"/>
  </r>
  <r>
    <s v="TCK-1214"/>
    <d v="2025-02-17T00:00:00"/>
    <d v="2025-02-22T00:00:00"/>
    <x v="1"/>
    <s v="Resolved"/>
    <x v="2"/>
    <x v="2"/>
    <s v="Agent H"/>
    <s v="Makati"/>
    <s v="Phone"/>
    <s v="High"/>
    <s v="Low"/>
    <n v="5"/>
    <n v="3"/>
    <x v="1"/>
    <x v="5"/>
    <n v="2025"/>
    <x v="0"/>
    <s v="Feb"/>
  </r>
  <r>
    <s v="TCK-1215"/>
    <d v="2025-02-24T00:00:00"/>
    <m/>
    <x v="3"/>
    <s v="Open"/>
    <x v="5"/>
    <x v="3"/>
    <s v="Agent K"/>
    <s v="Cebu"/>
    <s v="Phone"/>
    <s v="Low"/>
    <s v="Medium"/>
    <s v=""/>
    <n v="5"/>
    <x v="2"/>
    <x v="5"/>
    <n v="2025"/>
    <x v="1"/>
    <s v="Open"/>
  </r>
  <r>
    <s v="TCK-1216"/>
    <d v="2025-10-23T00:00:00"/>
    <m/>
    <x v="2"/>
    <s v="In Progress"/>
    <x v="4"/>
    <x v="4"/>
    <s v="Agent O"/>
    <s v="Manila"/>
    <s v="Phone"/>
    <s v="Medium"/>
    <s v="Low"/>
    <s v=""/>
    <n v="1"/>
    <x v="2"/>
    <x v="4"/>
    <n v="2025"/>
    <x v="1"/>
    <s v="Open"/>
  </r>
  <r>
    <s v="TCK-1217"/>
    <d v="2025-07-05T00:00:00"/>
    <d v="2025-07-05T00:00:00"/>
    <x v="1"/>
    <s v="Closed"/>
    <x v="1"/>
    <x v="1"/>
    <s v="Agent M"/>
    <s v="Davao"/>
    <s v="Phone"/>
    <s v="Low"/>
    <s v="Low"/>
    <n v="0"/>
    <n v="3"/>
    <x v="0"/>
    <x v="2"/>
    <n v="2025"/>
    <x v="0"/>
    <s v="Jul"/>
  </r>
  <r>
    <s v="TCK-1218"/>
    <d v="2025-02-21T00:00:00"/>
    <d v="2025-02-25T00:00:00"/>
    <x v="3"/>
    <s v="Closed"/>
    <x v="7"/>
    <x v="0"/>
    <s v="Agent K"/>
    <s v="BGC"/>
    <s v="Email"/>
    <s v="Medium"/>
    <s v="High"/>
    <n v="4"/>
    <n v="5"/>
    <x v="0"/>
    <x v="5"/>
    <n v="2025"/>
    <x v="0"/>
    <s v="Feb"/>
  </r>
  <r>
    <s v="TCK-1219"/>
    <d v="2025-01-31T00:00:00"/>
    <m/>
    <x v="1"/>
    <s v="In Progress"/>
    <x v="0"/>
    <x v="1"/>
    <s v="Agent N"/>
    <s v="Davao"/>
    <s v="Phone"/>
    <s v="Medium"/>
    <s v="Medium"/>
    <s v=""/>
    <n v="3"/>
    <x v="2"/>
    <x v="0"/>
    <n v="2025"/>
    <x v="1"/>
    <s v="Open"/>
  </r>
  <r>
    <s v="TCK-1220"/>
    <d v="2025-09-19T00:00:00"/>
    <d v="2025-09-24T00:00:00"/>
    <x v="3"/>
    <s v="Resolved"/>
    <x v="7"/>
    <x v="0"/>
    <s v="Agent C"/>
    <s v="Makati"/>
    <s v="Portal"/>
    <s v="Medium"/>
    <s v="Low"/>
    <n v="5"/>
    <n v="5"/>
    <x v="0"/>
    <x v="10"/>
    <n v="2025"/>
    <x v="0"/>
    <s v="Sep"/>
  </r>
  <r>
    <s v="TCK-1221"/>
    <d v="2025-05-17T00:00:00"/>
    <d v="2025-05-19T00:00:00"/>
    <x v="0"/>
    <s v="Closed"/>
    <x v="5"/>
    <x v="1"/>
    <s v="Agent C"/>
    <s v="Manila"/>
    <s v="Email"/>
    <s v="High"/>
    <s v="Medium"/>
    <n v="2"/>
    <n v="7"/>
    <x v="0"/>
    <x v="9"/>
    <n v="2025"/>
    <x v="0"/>
    <s v="May"/>
  </r>
  <r>
    <s v="TCK-1222"/>
    <d v="2025-01-14T00:00:00"/>
    <d v="2025-01-15T00:00:00"/>
    <x v="3"/>
    <s v="Closed"/>
    <x v="6"/>
    <x v="2"/>
    <s v="Agent F"/>
    <s v="Iloilo"/>
    <s v="Portal"/>
    <s v="Medium"/>
    <s v="Medium"/>
    <n v="1"/>
    <n v="5"/>
    <x v="0"/>
    <x v="0"/>
    <n v="2025"/>
    <x v="0"/>
    <s v="Jan"/>
  </r>
  <r>
    <s v="TCK-1223"/>
    <d v="2025-10-04T00:00:00"/>
    <d v="2025-10-08T00:00:00"/>
    <x v="1"/>
    <s v="Closed"/>
    <x v="5"/>
    <x v="0"/>
    <s v="Agent L"/>
    <s v="Iloilo"/>
    <s v="Email"/>
    <s v="Medium"/>
    <s v="Medium"/>
    <n v="4"/>
    <n v="3"/>
    <x v="1"/>
    <x v="4"/>
    <n v="2025"/>
    <x v="0"/>
    <s v="Oct"/>
  </r>
  <r>
    <s v="TCK-1224"/>
    <d v="2025-05-14T00:00:00"/>
    <m/>
    <x v="1"/>
    <s v="In Progress"/>
    <x v="7"/>
    <x v="3"/>
    <s v="Agent N"/>
    <s v="Iloilo"/>
    <s v="Email"/>
    <s v="Low"/>
    <s v="Medium"/>
    <s v=""/>
    <n v="3"/>
    <x v="2"/>
    <x v="9"/>
    <n v="2025"/>
    <x v="1"/>
    <s v="Open"/>
  </r>
  <r>
    <s v="TCK-1225"/>
    <d v="2025-10-15T00:00:00"/>
    <d v="2025-10-16T00:00:00"/>
    <x v="3"/>
    <s v="Resolved"/>
    <x v="2"/>
    <x v="0"/>
    <s v="Agent I"/>
    <s v="Cebu"/>
    <s v="Phone"/>
    <s v="High"/>
    <s v="High"/>
    <n v="1"/>
    <n v="5"/>
    <x v="0"/>
    <x v="4"/>
    <n v="2025"/>
    <x v="0"/>
    <s v="Oct"/>
  </r>
  <r>
    <s v="TCK-1226"/>
    <d v="2025-02-26T00:00:00"/>
    <d v="2025-02-28T00:00:00"/>
    <x v="1"/>
    <s v="Closed"/>
    <x v="4"/>
    <x v="2"/>
    <s v="Agent A"/>
    <s v="Manila"/>
    <s v="Chat"/>
    <s v="High"/>
    <s v="Medium"/>
    <n v="2"/>
    <n v="3"/>
    <x v="0"/>
    <x v="5"/>
    <n v="2025"/>
    <x v="0"/>
    <s v="Feb"/>
  </r>
  <r>
    <s v="TCK-1227"/>
    <d v="2025-09-13T00:00:00"/>
    <d v="2025-09-16T00:00:00"/>
    <x v="2"/>
    <s v="Closed"/>
    <x v="7"/>
    <x v="2"/>
    <s v="Agent I"/>
    <s v="Manila"/>
    <s v="Phone"/>
    <s v="Medium"/>
    <s v="Medium"/>
    <n v="3"/>
    <n v="1"/>
    <x v="1"/>
    <x v="10"/>
    <n v="2025"/>
    <x v="0"/>
    <s v="Sep"/>
  </r>
  <r>
    <s v="TCK-1228"/>
    <d v="2025-01-18T00:00:00"/>
    <m/>
    <x v="3"/>
    <s v="In Progress"/>
    <x v="3"/>
    <x v="4"/>
    <s v="Agent R"/>
    <s v="Cebu"/>
    <s v="Portal"/>
    <s v="High"/>
    <s v="Medium"/>
    <s v=""/>
    <n v="5"/>
    <x v="2"/>
    <x v="0"/>
    <n v="2025"/>
    <x v="1"/>
    <s v="Open"/>
  </r>
  <r>
    <s v="TCK-1229"/>
    <d v="2025-12-08T00:00:00"/>
    <m/>
    <x v="0"/>
    <s v="In Progress"/>
    <x v="0"/>
    <x v="2"/>
    <s v="Unassigned"/>
    <s v="Clark"/>
    <s v="Phone"/>
    <s v="Medium"/>
    <s v="High"/>
    <s v=""/>
    <n v="7"/>
    <x v="2"/>
    <x v="8"/>
    <n v="2025"/>
    <x v="1"/>
    <s v="Open"/>
  </r>
  <r>
    <s v="TCK-1230"/>
    <d v="2025-09-13T00:00:00"/>
    <m/>
    <x v="3"/>
    <s v="Open"/>
    <x v="4"/>
    <x v="2"/>
    <s v="Agent K"/>
    <s v="Iloilo"/>
    <s v="Chat"/>
    <s v="Low"/>
    <s v="High"/>
    <s v=""/>
    <n v="5"/>
    <x v="2"/>
    <x v="10"/>
    <n v="2025"/>
    <x v="1"/>
    <s v="Open"/>
  </r>
  <r>
    <s v="TCK-1231"/>
    <d v="2025-07-13T00:00:00"/>
    <d v="2025-07-15T00:00:00"/>
    <x v="1"/>
    <s v="Resolved"/>
    <x v="5"/>
    <x v="1"/>
    <s v="Agent T"/>
    <s v="Manila"/>
    <s v="Phone"/>
    <s v="Medium"/>
    <s v="Medium"/>
    <n v="2"/>
    <n v="3"/>
    <x v="0"/>
    <x v="2"/>
    <n v="2025"/>
    <x v="0"/>
    <s v="Jul"/>
  </r>
  <r>
    <s v="TCK-1232"/>
    <d v="2025-10-05T00:00:00"/>
    <d v="2025-10-09T00:00:00"/>
    <x v="0"/>
    <s v="Resolved"/>
    <x v="1"/>
    <x v="0"/>
    <s v="Agent G"/>
    <s v="Iloilo"/>
    <s v="Phone"/>
    <s v="Low"/>
    <s v="Medium"/>
    <n v="4"/>
    <n v="7"/>
    <x v="0"/>
    <x v="4"/>
    <n v="2025"/>
    <x v="0"/>
    <s v="Oct"/>
  </r>
  <r>
    <s v="TCK-1233"/>
    <d v="2025-11-25T00:00:00"/>
    <d v="2025-12-03T00:00:00"/>
    <x v="3"/>
    <s v="Resolved"/>
    <x v="4"/>
    <x v="3"/>
    <s v="Agent Q"/>
    <s v="Manila"/>
    <s v="Portal"/>
    <s v="High"/>
    <s v="Low"/>
    <n v="8"/>
    <n v="5"/>
    <x v="1"/>
    <x v="1"/>
    <n v="2025"/>
    <x v="0"/>
    <s v="Dec"/>
  </r>
  <r>
    <s v="TCK-1234"/>
    <d v="2025-01-07T00:00:00"/>
    <d v="2025-01-08T00:00:00"/>
    <x v="2"/>
    <s v="Closed"/>
    <x v="4"/>
    <x v="4"/>
    <s v="Agent I"/>
    <s v="Iloilo"/>
    <s v="Portal"/>
    <s v="High"/>
    <s v="High"/>
    <n v="1"/>
    <n v="1"/>
    <x v="0"/>
    <x v="0"/>
    <n v="2025"/>
    <x v="0"/>
    <s v="Jan"/>
  </r>
  <r>
    <s v="TCK-1235"/>
    <d v="2025-02-19T00:00:00"/>
    <m/>
    <x v="3"/>
    <s v="Open"/>
    <x v="3"/>
    <x v="0"/>
    <s v="Agent D"/>
    <s v="Clark"/>
    <s v="Chat"/>
    <s v="Low"/>
    <s v="Low"/>
    <s v=""/>
    <n v="5"/>
    <x v="2"/>
    <x v="5"/>
    <n v="2025"/>
    <x v="1"/>
    <s v="Open"/>
  </r>
  <r>
    <s v="TCK-1236"/>
    <d v="2025-02-23T00:00:00"/>
    <m/>
    <x v="0"/>
    <s v="In Progress"/>
    <x v="1"/>
    <x v="1"/>
    <s v="Agent K"/>
    <s v="Iloilo"/>
    <s v="Chat"/>
    <s v="Low"/>
    <s v="Medium"/>
    <s v=""/>
    <n v="7"/>
    <x v="2"/>
    <x v="5"/>
    <n v="2025"/>
    <x v="1"/>
    <s v="Open"/>
  </r>
  <r>
    <s v="TCK-1237"/>
    <d v="2025-10-16T00:00:00"/>
    <d v="2025-10-17T00:00:00"/>
    <x v="1"/>
    <s v="Resolved"/>
    <x v="5"/>
    <x v="4"/>
    <s v="Agent J"/>
    <s v="Makati"/>
    <s v="Portal"/>
    <s v="High"/>
    <s v="Low"/>
    <n v="1"/>
    <n v="3"/>
    <x v="0"/>
    <x v="4"/>
    <n v="2025"/>
    <x v="0"/>
    <s v="Oct"/>
  </r>
  <r>
    <s v="TCK-1238"/>
    <d v="2025-10-11T00:00:00"/>
    <d v="2025-10-13T00:00:00"/>
    <x v="1"/>
    <s v="Resolved"/>
    <x v="3"/>
    <x v="2"/>
    <s v="Agent K"/>
    <s v="Cebu"/>
    <s v="Email"/>
    <s v="Low"/>
    <s v="Low"/>
    <n v="2"/>
    <n v="3"/>
    <x v="0"/>
    <x v="4"/>
    <n v="2025"/>
    <x v="0"/>
    <s v="Oct"/>
  </r>
  <r>
    <s v="TCK-1239"/>
    <d v="2025-10-23T00:00:00"/>
    <d v="2025-10-24T00:00:00"/>
    <x v="2"/>
    <s v="Resolved"/>
    <x v="0"/>
    <x v="4"/>
    <s v="Agent M"/>
    <s v="BGC"/>
    <s v="Phone"/>
    <s v="Medium"/>
    <s v="Low"/>
    <n v="1"/>
    <n v="1"/>
    <x v="0"/>
    <x v="4"/>
    <n v="2025"/>
    <x v="0"/>
    <s v="Oct"/>
  </r>
  <r>
    <s v="TCK-1240"/>
    <d v="2025-03-20T00:00:00"/>
    <m/>
    <x v="2"/>
    <s v="Open"/>
    <x v="5"/>
    <x v="3"/>
    <s v="Agent K"/>
    <s v="Davao"/>
    <s v="Chat"/>
    <s v="Medium"/>
    <s v="High"/>
    <s v=""/>
    <n v="1"/>
    <x v="2"/>
    <x v="11"/>
    <n v="2025"/>
    <x v="1"/>
    <s v="Open"/>
  </r>
  <r>
    <s v="TCK-1241"/>
    <d v="2025-08-11T00:00:00"/>
    <d v="2025-08-11T00:00:00"/>
    <x v="2"/>
    <s v="Closed"/>
    <x v="3"/>
    <x v="1"/>
    <s v="Agent K"/>
    <s v="Manila"/>
    <s v="Chat"/>
    <s v="Medium"/>
    <s v="Medium"/>
    <n v="0"/>
    <n v="1"/>
    <x v="0"/>
    <x v="3"/>
    <n v="2025"/>
    <x v="0"/>
    <s v="Aug"/>
  </r>
  <r>
    <s v="TCK-1242"/>
    <d v="2025-06-14T00:00:00"/>
    <d v="2025-06-14T00:00:00"/>
    <x v="2"/>
    <s v="Resolved"/>
    <x v="5"/>
    <x v="1"/>
    <s v="Agent C"/>
    <s v="Makati"/>
    <s v="Phone"/>
    <s v="Medium"/>
    <s v="High"/>
    <n v="0"/>
    <n v="1"/>
    <x v="0"/>
    <x v="6"/>
    <n v="2025"/>
    <x v="0"/>
    <s v="Jun"/>
  </r>
  <r>
    <s v="TCK-1243"/>
    <d v="2025-02-26T00:00:00"/>
    <d v="2025-02-27T00:00:00"/>
    <x v="1"/>
    <s v="Resolved"/>
    <x v="2"/>
    <x v="4"/>
    <s v="Agent Q"/>
    <s v="Manila"/>
    <s v="Portal"/>
    <s v="High"/>
    <s v="Low"/>
    <n v="1"/>
    <n v="3"/>
    <x v="0"/>
    <x v="5"/>
    <n v="2025"/>
    <x v="0"/>
    <s v="Feb"/>
  </r>
  <r>
    <s v="TCK-1244"/>
    <d v="2025-01-28T00:00:00"/>
    <d v="2025-01-28T00:00:00"/>
    <x v="2"/>
    <s v="Resolved"/>
    <x v="1"/>
    <x v="2"/>
    <s v="Agent Q"/>
    <s v="BGC"/>
    <s v="Chat"/>
    <s v="Low"/>
    <s v="Low"/>
    <n v="0"/>
    <n v="1"/>
    <x v="0"/>
    <x v="0"/>
    <n v="2025"/>
    <x v="0"/>
    <s v="Jan"/>
  </r>
  <r>
    <s v="TCK-1245"/>
    <d v="2025-04-12T00:00:00"/>
    <d v="2025-04-20T00:00:00"/>
    <x v="3"/>
    <s v="Resolved"/>
    <x v="2"/>
    <x v="1"/>
    <s v="Agent J"/>
    <s v="Iloilo"/>
    <s v="Email"/>
    <s v="Low"/>
    <s v="Medium"/>
    <n v="8"/>
    <n v="5"/>
    <x v="1"/>
    <x v="7"/>
    <n v="2025"/>
    <x v="0"/>
    <s v="Apr"/>
  </r>
  <r>
    <s v="TCK-1246"/>
    <d v="2025-01-16T00:00:00"/>
    <d v="2025-01-19T00:00:00"/>
    <x v="3"/>
    <s v="Closed"/>
    <x v="6"/>
    <x v="3"/>
    <s v="Agent E"/>
    <s v="Davao"/>
    <s v="Portal"/>
    <s v="Medium"/>
    <s v="Low"/>
    <n v="3"/>
    <n v="5"/>
    <x v="0"/>
    <x v="0"/>
    <n v="2025"/>
    <x v="0"/>
    <s v="Jan"/>
  </r>
  <r>
    <s v="TCK-1247"/>
    <d v="2025-12-01T00:00:00"/>
    <m/>
    <x v="3"/>
    <s v="In Progress"/>
    <x v="7"/>
    <x v="2"/>
    <s v="Agent S"/>
    <s v="Manila"/>
    <s v="Email"/>
    <s v="High"/>
    <s v="Medium"/>
    <s v=""/>
    <n v="5"/>
    <x v="2"/>
    <x v="8"/>
    <n v="2025"/>
    <x v="1"/>
    <s v="Open"/>
  </r>
  <r>
    <s v="TCK-1247"/>
    <d v="2025-03-04T00:00:00"/>
    <d v="2025-03-10T00:00:00"/>
    <x v="0"/>
    <s v="Resolved"/>
    <x v="0"/>
    <x v="1"/>
    <s v="Agent F"/>
    <s v="Clark"/>
    <s v="Phone"/>
    <s v="Medium"/>
    <s v="Low"/>
    <n v="6"/>
    <n v="7"/>
    <x v="0"/>
    <x v="11"/>
    <n v="2025"/>
    <x v="0"/>
    <s v="Mar"/>
  </r>
  <r>
    <s v="TCK-1248"/>
    <d v="2025-03-16T00:00:00"/>
    <d v="2025-03-16T00:00:00"/>
    <x v="1"/>
    <s v="Closed"/>
    <x v="2"/>
    <x v="5"/>
    <s v="Agent T"/>
    <s v="Davao"/>
    <s v="Phone"/>
    <s v="High"/>
    <s v="Low"/>
    <n v="0"/>
    <n v="3"/>
    <x v="0"/>
    <x v="11"/>
    <n v="2025"/>
    <x v="0"/>
    <s v="Mar"/>
  </r>
  <r>
    <s v="TCK-1249"/>
    <d v="2025-02-10T00:00:00"/>
    <d v="2025-02-17T00:00:00"/>
    <x v="0"/>
    <s v="Closed"/>
    <x v="7"/>
    <x v="4"/>
    <s v="Agent A"/>
    <s v="Makati"/>
    <s v="Phone"/>
    <s v="High"/>
    <s v="High"/>
    <n v="7"/>
    <n v="7"/>
    <x v="0"/>
    <x v="5"/>
    <n v="2025"/>
    <x v="0"/>
    <s v="Feb"/>
  </r>
  <r>
    <s v="TCK-1250"/>
    <d v="2025-08-13T00:00:00"/>
    <d v="2025-08-14T00:00:00"/>
    <x v="2"/>
    <s v="Closed"/>
    <x v="4"/>
    <x v="0"/>
    <s v="Agent Q"/>
    <s v="Davao"/>
    <s v="Email"/>
    <s v="Medium"/>
    <s v="Medium"/>
    <n v="1"/>
    <n v="1"/>
    <x v="0"/>
    <x v="3"/>
    <n v="2025"/>
    <x v="0"/>
    <s v="Aug"/>
  </r>
  <r>
    <s v="TCK-1251"/>
    <d v="2025-01-22T00:00:00"/>
    <d v="2025-01-23T00:00:00"/>
    <x v="2"/>
    <s v="Closed"/>
    <x v="4"/>
    <x v="1"/>
    <s v="Agent N"/>
    <s v="Clark"/>
    <s v="Phone"/>
    <s v="Medium"/>
    <s v="Low"/>
    <n v="1"/>
    <n v="1"/>
    <x v="0"/>
    <x v="0"/>
    <n v="2025"/>
    <x v="0"/>
    <s v="Jan"/>
  </r>
  <r>
    <s v="TCK-1252"/>
    <d v="2025-09-14T00:00:00"/>
    <m/>
    <x v="1"/>
    <s v="Open"/>
    <x v="7"/>
    <x v="2"/>
    <s v="Agent C"/>
    <s v="Clark"/>
    <s v="Email"/>
    <s v="High"/>
    <s v="High"/>
    <s v=""/>
    <n v="3"/>
    <x v="2"/>
    <x v="10"/>
    <n v="2025"/>
    <x v="1"/>
    <s v="Open"/>
  </r>
  <r>
    <s v="TCK-1253"/>
    <d v="2025-11-21T00:00:00"/>
    <d v="2025-11-22T00:00:00"/>
    <x v="2"/>
    <s v="Resolved"/>
    <x v="6"/>
    <x v="2"/>
    <s v="Agent E"/>
    <s v="Cebu"/>
    <s v="Portal"/>
    <s v="Medium"/>
    <s v="Low"/>
    <n v="1"/>
    <n v="1"/>
    <x v="0"/>
    <x v="1"/>
    <n v="2025"/>
    <x v="0"/>
    <s v="Nov"/>
  </r>
  <r>
    <s v="TCK-1254"/>
    <d v="2025-08-17T00:00:00"/>
    <d v="2025-08-23T00:00:00"/>
    <x v="0"/>
    <s v="Resolved"/>
    <x v="0"/>
    <x v="0"/>
    <s v="Agent H"/>
    <s v="Cebu"/>
    <s v="Chat"/>
    <s v="Medium"/>
    <s v="High"/>
    <n v="6"/>
    <n v="7"/>
    <x v="0"/>
    <x v="3"/>
    <n v="2025"/>
    <x v="0"/>
    <s v="Aug"/>
  </r>
  <r>
    <s v="TCK-1255"/>
    <d v="2025-01-04T00:00:00"/>
    <m/>
    <x v="2"/>
    <s v="In Progress"/>
    <x v="3"/>
    <x v="4"/>
    <s v="Agent T"/>
    <s v="Manila"/>
    <s v="Email"/>
    <s v="Medium"/>
    <s v="High"/>
    <s v=""/>
    <n v="1"/>
    <x v="2"/>
    <x v="0"/>
    <n v="2025"/>
    <x v="1"/>
    <s v="Open"/>
  </r>
  <r>
    <s v="TCK-1256"/>
    <d v="2025-05-26T00:00:00"/>
    <d v="2025-05-27T00:00:00"/>
    <x v="3"/>
    <s v="Closed"/>
    <x v="2"/>
    <x v="0"/>
    <s v="Agent P"/>
    <s v="BGC"/>
    <s v="Chat"/>
    <s v="Low"/>
    <s v="High"/>
    <n v="1"/>
    <n v="5"/>
    <x v="0"/>
    <x v="9"/>
    <n v="2025"/>
    <x v="0"/>
    <s v="May"/>
  </r>
  <r>
    <s v="TCK-1257"/>
    <d v="2025-11-10T00:00:00"/>
    <m/>
    <x v="3"/>
    <s v="Open"/>
    <x v="0"/>
    <x v="1"/>
    <s v="Agent K"/>
    <s v="Makati"/>
    <s v="Chat"/>
    <s v="Low"/>
    <s v="Low"/>
    <s v=""/>
    <n v="5"/>
    <x v="2"/>
    <x v="1"/>
    <n v="2025"/>
    <x v="1"/>
    <s v="Open"/>
  </r>
  <r>
    <s v="TCK-1258"/>
    <d v="2025-09-10T00:00:00"/>
    <d v="2025-09-11T00:00:00"/>
    <x v="1"/>
    <s v="Closed"/>
    <x v="0"/>
    <x v="4"/>
    <s v="Agent R"/>
    <s v="Manila"/>
    <s v="Phone"/>
    <s v="Low"/>
    <s v="Medium"/>
    <n v="1"/>
    <n v="3"/>
    <x v="0"/>
    <x v="10"/>
    <n v="2025"/>
    <x v="0"/>
    <s v="Sep"/>
  </r>
  <r>
    <s v="TCK-1259"/>
    <d v="2025-02-04T00:00:00"/>
    <d v="2025-02-07T00:00:00"/>
    <x v="0"/>
    <s v="Resolved"/>
    <x v="4"/>
    <x v="3"/>
    <s v="Agent B"/>
    <s v="Makati"/>
    <s v="Chat"/>
    <s v="Low"/>
    <s v="Medium"/>
    <n v="3"/>
    <n v="7"/>
    <x v="0"/>
    <x v="5"/>
    <n v="2025"/>
    <x v="0"/>
    <s v="Feb"/>
  </r>
  <r>
    <s v="TCK-1260"/>
    <d v="2025-07-31T00:00:00"/>
    <d v="2025-07-31T00:00:00"/>
    <x v="2"/>
    <s v="Closed"/>
    <x v="4"/>
    <x v="1"/>
    <s v="Agent E"/>
    <s v="BGC"/>
    <s v="Chat"/>
    <s v="Low"/>
    <s v="Low"/>
    <n v="0"/>
    <n v="1"/>
    <x v="0"/>
    <x v="2"/>
    <n v="2025"/>
    <x v="0"/>
    <s v="Jul"/>
  </r>
  <r>
    <s v="TCK-1261"/>
    <d v="2025-10-20T00:00:00"/>
    <d v="2025-10-20T00:00:00"/>
    <x v="3"/>
    <s v="Closed"/>
    <x v="1"/>
    <x v="1"/>
    <s v="Agent J"/>
    <s v="Makati"/>
    <s v="Email"/>
    <s v="Medium"/>
    <s v="High"/>
    <n v="0"/>
    <n v="5"/>
    <x v="0"/>
    <x v="4"/>
    <n v="2025"/>
    <x v="0"/>
    <s v="Oct"/>
  </r>
  <r>
    <s v="TCK-1262"/>
    <d v="2025-02-17T00:00:00"/>
    <d v="2025-02-17T00:00:00"/>
    <x v="1"/>
    <s v="Resolved"/>
    <x v="5"/>
    <x v="4"/>
    <s v="Agent Q"/>
    <s v="Makati"/>
    <s v="Email"/>
    <s v="Medium"/>
    <s v="Medium"/>
    <n v="0"/>
    <n v="3"/>
    <x v="0"/>
    <x v="5"/>
    <n v="2025"/>
    <x v="0"/>
    <s v="Feb"/>
  </r>
  <r>
    <s v="TCK-1263"/>
    <d v="2025-09-25T00:00:00"/>
    <m/>
    <x v="1"/>
    <s v="Open"/>
    <x v="0"/>
    <x v="1"/>
    <s v="Unassigned"/>
    <s v="BGC"/>
    <s v="Phone"/>
    <s v="High"/>
    <s v="Medium"/>
    <s v=""/>
    <n v="3"/>
    <x v="2"/>
    <x v="10"/>
    <n v="2025"/>
    <x v="1"/>
    <s v="Open"/>
  </r>
  <r>
    <s v="TCK-1264"/>
    <d v="2025-06-13T00:00:00"/>
    <d v="2025-06-18T00:00:00"/>
    <x v="3"/>
    <s v="Closed"/>
    <x v="0"/>
    <x v="1"/>
    <s v="Agent F"/>
    <s v="Davao"/>
    <s v="Chat"/>
    <s v="High"/>
    <s v="High"/>
    <n v="5"/>
    <n v="5"/>
    <x v="0"/>
    <x v="6"/>
    <n v="2025"/>
    <x v="0"/>
    <s v="Jun"/>
  </r>
  <r>
    <s v="TCK-1265"/>
    <d v="2025-12-12T00:00:00"/>
    <m/>
    <x v="1"/>
    <s v="Open"/>
    <x v="6"/>
    <x v="3"/>
    <s v="Agent J"/>
    <s v="Clark"/>
    <s v="Email"/>
    <s v="Medium"/>
    <s v="Low"/>
    <s v=""/>
    <n v="3"/>
    <x v="2"/>
    <x v="8"/>
    <n v="2025"/>
    <x v="1"/>
    <s v="Open"/>
  </r>
  <r>
    <s v="TCK-1266"/>
    <d v="2025-12-24T00:00:00"/>
    <d v="2025-12-26T00:00:00"/>
    <x v="3"/>
    <s v="Resolved"/>
    <x v="3"/>
    <x v="2"/>
    <s v="Agent K"/>
    <s v="Cebu"/>
    <s v="Chat"/>
    <s v="High"/>
    <s v="High"/>
    <n v="2"/>
    <n v="5"/>
    <x v="0"/>
    <x v="8"/>
    <n v="2025"/>
    <x v="0"/>
    <s v="Dec"/>
  </r>
  <r>
    <s v="TCK-1267"/>
    <d v="2025-06-29T00:00:00"/>
    <d v="2025-07-02T00:00:00"/>
    <x v="1"/>
    <s v="Resolved"/>
    <x v="6"/>
    <x v="1"/>
    <s v="Agent M"/>
    <s v="Davao"/>
    <s v="Phone"/>
    <s v="Low"/>
    <s v="High"/>
    <n v="3"/>
    <n v="3"/>
    <x v="0"/>
    <x v="6"/>
    <n v="2025"/>
    <x v="0"/>
    <s v="Jul"/>
  </r>
  <r>
    <s v="TCK-1268"/>
    <d v="2025-07-16T00:00:00"/>
    <m/>
    <x v="0"/>
    <s v="Open"/>
    <x v="6"/>
    <x v="2"/>
    <s v="Agent C"/>
    <s v="Manila"/>
    <s v="Chat"/>
    <s v="Medium"/>
    <s v="Low"/>
    <s v=""/>
    <n v="7"/>
    <x v="2"/>
    <x v="2"/>
    <n v="2025"/>
    <x v="1"/>
    <s v="Open"/>
  </r>
  <r>
    <s v="TCK-1269"/>
    <d v="2025-08-16T00:00:00"/>
    <m/>
    <x v="2"/>
    <s v="In Progress"/>
    <x v="0"/>
    <x v="4"/>
    <s v="Agent E"/>
    <s v="Iloilo"/>
    <s v="Phone"/>
    <s v="Low"/>
    <s v="High"/>
    <s v=""/>
    <n v="1"/>
    <x v="2"/>
    <x v="3"/>
    <n v="2025"/>
    <x v="1"/>
    <s v="Open"/>
  </r>
  <r>
    <s v="TCK-1270"/>
    <d v="2025-05-30T00:00:00"/>
    <d v="2025-05-31T00:00:00"/>
    <x v="0"/>
    <s v="Resolved"/>
    <x v="2"/>
    <x v="4"/>
    <s v="Agent T"/>
    <s v="Iloilo"/>
    <s v="Phone"/>
    <s v="Medium"/>
    <s v="High"/>
    <n v="1"/>
    <n v="7"/>
    <x v="0"/>
    <x v="9"/>
    <n v="2025"/>
    <x v="0"/>
    <s v="May"/>
  </r>
  <r>
    <s v="TCK-1271"/>
    <d v="2025-10-09T00:00:00"/>
    <d v="2025-10-10T00:00:00"/>
    <x v="1"/>
    <s v="Closed"/>
    <x v="4"/>
    <x v="3"/>
    <s v="Agent N"/>
    <s v="Cebu"/>
    <s v="Phone"/>
    <s v="High"/>
    <s v="Low"/>
    <n v="1"/>
    <n v="3"/>
    <x v="0"/>
    <x v="4"/>
    <n v="2025"/>
    <x v="0"/>
    <s v="Oct"/>
  </r>
  <r>
    <s v="TCK-1272"/>
    <d v="2025-07-04T00:00:00"/>
    <d v="2025-07-05T00:00:00"/>
    <x v="0"/>
    <s v="Closed"/>
    <x v="4"/>
    <x v="2"/>
    <s v="Agent N"/>
    <s v="Davao"/>
    <s v="Phone"/>
    <s v="Medium"/>
    <s v="Low"/>
    <n v="1"/>
    <n v="7"/>
    <x v="0"/>
    <x v="2"/>
    <n v="2025"/>
    <x v="0"/>
    <s v="Jul"/>
  </r>
  <r>
    <s v="TCK-1273"/>
    <d v="2025-08-19T00:00:00"/>
    <d v="2025-08-19T00:00:00"/>
    <x v="3"/>
    <s v="Resolved"/>
    <x v="3"/>
    <x v="4"/>
    <s v="Agent S"/>
    <s v="Manila"/>
    <s v="Chat"/>
    <s v="Low"/>
    <s v="High"/>
    <n v="0"/>
    <n v="5"/>
    <x v="0"/>
    <x v="3"/>
    <n v="2025"/>
    <x v="0"/>
    <s v="Aug"/>
  </r>
  <r>
    <s v="TCK-1274"/>
    <d v="2025-09-27T00:00:00"/>
    <d v="2025-09-30T00:00:00"/>
    <x v="3"/>
    <s v="Closed"/>
    <x v="5"/>
    <x v="0"/>
    <s v="Agent J"/>
    <s v="Davao"/>
    <s v="Email"/>
    <s v="Medium"/>
    <s v="Medium"/>
    <n v="3"/>
    <n v="5"/>
    <x v="0"/>
    <x v="10"/>
    <n v="2025"/>
    <x v="0"/>
    <s v="Sep"/>
  </r>
  <r>
    <s v="TCK-1275"/>
    <d v="2025-08-29T00:00:00"/>
    <d v="2025-09-03T00:00:00"/>
    <x v="2"/>
    <s v="Resolved"/>
    <x v="4"/>
    <x v="1"/>
    <s v="Agent P"/>
    <s v="Clark"/>
    <s v="Portal"/>
    <s v="Low"/>
    <s v="Low"/>
    <n v="5"/>
    <n v="1"/>
    <x v="1"/>
    <x v="3"/>
    <n v="2025"/>
    <x v="0"/>
    <s v="Sep"/>
  </r>
  <r>
    <s v="TCK-1276"/>
    <d v="2025-09-06T00:00:00"/>
    <m/>
    <x v="0"/>
    <s v="Open"/>
    <x v="2"/>
    <x v="4"/>
    <s v="Agent S"/>
    <s v="BGC"/>
    <s v="Phone"/>
    <s v="Medium"/>
    <s v="Low"/>
    <s v=""/>
    <n v="7"/>
    <x v="2"/>
    <x v="10"/>
    <n v="2025"/>
    <x v="1"/>
    <s v="Open"/>
  </r>
  <r>
    <s v="TCK-1277"/>
    <d v="2025-04-03T00:00:00"/>
    <d v="2025-04-04T00:00:00"/>
    <x v="3"/>
    <s v="Closed"/>
    <x v="7"/>
    <x v="3"/>
    <s v="Agent F"/>
    <s v="Manila"/>
    <s v="Portal"/>
    <s v="High"/>
    <s v="High"/>
    <n v="1"/>
    <n v="5"/>
    <x v="0"/>
    <x v="7"/>
    <n v="2025"/>
    <x v="0"/>
    <s v="Apr"/>
  </r>
  <r>
    <s v="TCK-1278"/>
    <d v="2025-07-24T00:00:00"/>
    <d v="2025-07-27T00:00:00"/>
    <x v="3"/>
    <s v="Resolved"/>
    <x v="6"/>
    <x v="5"/>
    <s v="Agent O"/>
    <s v="Davao"/>
    <s v="Email"/>
    <s v="High"/>
    <s v="Low"/>
    <n v="3"/>
    <n v="5"/>
    <x v="0"/>
    <x v="2"/>
    <n v="2025"/>
    <x v="0"/>
    <s v="Jul"/>
  </r>
  <r>
    <s v="TCK-1279"/>
    <d v="2025-08-10T00:00:00"/>
    <d v="2025-08-14T00:00:00"/>
    <x v="2"/>
    <s v="Closed"/>
    <x v="6"/>
    <x v="2"/>
    <s v="Agent F"/>
    <s v="Clark"/>
    <s v="Email"/>
    <s v="High"/>
    <s v="High"/>
    <n v="4"/>
    <n v="1"/>
    <x v="1"/>
    <x v="3"/>
    <n v="2025"/>
    <x v="0"/>
    <s v="Aug"/>
  </r>
  <r>
    <s v="TCK-1280"/>
    <d v="2025-09-26T00:00:00"/>
    <m/>
    <x v="2"/>
    <s v="Open"/>
    <x v="2"/>
    <x v="0"/>
    <s v="Agent G"/>
    <s v="Clark"/>
    <s v="Email"/>
    <s v="High"/>
    <s v="Low"/>
    <s v=""/>
    <n v="1"/>
    <x v="2"/>
    <x v="10"/>
    <n v="2025"/>
    <x v="1"/>
    <s v="Open"/>
  </r>
  <r>
    <s v="TCK-1281"/>
    <d v="2025-12-03T00:00:00"/>
    <d v="2025-12-03T00:00:00"/>
    <x v="2"/>
    <s v="Closed"/>
    <x v="0"/>
    <x v="1"/>
    <s v="Agent C"/>
    <s v="Cebu"/>
    <s v="Chat"/>
    <s v="Medium"/>
    <s v="High"/>
    <n v="0"/>
    <n v="1"/>
    <x v="0"/>
    <x v="8"/>
    <n v="2025"/>
    <x v="0"/>
    <s v="Dec"/>
  </r>
  <r>
    <s v="TCK-1282"/>
    <d v="2025-05-16T00:00:00"/>
    <m/>
    <x v="3"/>
    <s v="In Progress"/>
    <x v="3"/>
    <x v="3"/>
    <s v="Agent D"/>
    <s v="Manila"/>
    <s v="Email"/>
    <s v="High"/>
    <s v="High"/>
    <s v=""/>
    <n v="5"/>
    <x v="2"/>
    <x v="9"/>
    <n v="2025"/>
    <x v="1"/>
    <s v="Open"/>
  </r>
  <r>
    <s v="TCK-1283"/>
    <d v="2025-05-09T00:00:00"/>
    <d v="2025-05-12T00:00:00"/>
    <x v="0"/>
    <s v="Closed"/>
    <x v="6"/>
    <x v="0"/>
    <s v="Agent P"/>
    <s v="Iloilo"/>
    <s v="Email"/>
    <s v="Low"/>
    <s v="High"/>
    <n v="3"/>
    <n v="7"/>
    <x v="0"/>
    <x v="9"/>
    <n v="2025"/>
    <x v="0"/>
    <s v="May"/>
  </r>
  <r>
    <s v="TCK-1285"/>
    <d v="2025-02-24T00:00:00"/>
    <d v="2025-02-28T00:00:00"/>
    <x v="0"/>
    <s v="Closed"/>
    <x v="4"/>
    <x v="4"/>
    <s v="Agent J"/>
    <s v="Manila"/>
    <s v="Email"/>
    <s v="Medium"/>
    <s v="High"/>
    <n v="4"/>
    <n v="7"/>
    <x v="0"/>
    <x v="5"/>
    <n v="2025"/>
    <x v="0"/>
    <s v="Feb"/>
  </r>
  <r>
    <s v="TCK-1286"/>
    <d v="2025-01-22T00:00:00"/>
    <d v="2025-01-22T00:00:00"/>
    <x v="2"/>
    <s v="Resolved"/>
    <x v="7"/>
    <x v="3"/>
    <s v="Agent P"/>
    <s v="Makati"/>
    <s v="Phone"/>
    <s v="High"/>
    <s v="High"/>
    <n v="0"/>
    <n v="1"/>
    <x v="0"/>
    <x v="0"/>
    <n v="2025"/>
    <x v="0"/>
    <s v="Jan"/>
  </r>
  <r>
    <s v="TCK-1287"/>
    <d v="2025-06-07T00:00:00"/>
    <d v="2025-06-09T00:00:00"/>
    <x v="1"/>
    <s v="Closed"/>
    <x v="0"/>
    <x v="2"/>
    <s v="Agent M"/>
    <s v="BGC"/>
    <s v="Phone"/>
    <s v="High"/>
    <s v="Low"/>
    <n v="2"/>
    <n v="3"/>
    <x v="0"/>
    <x v="6"/>
    <n v="2025"/>
    <x v="0"/>
    <s v="Jun"/>
  </r>
  <r>
    <s v="TCK-1288"/>
    <d v="2025-02-02T00:00:00"/>
    <m/>
    <x v="1"/>
    <s v="In Progress"/>
    <x v="1"/>
    <x v="4"/>
    <s v="Agent T"/>
    <s v="Manila"/>
    <s v="Chat"/>
    <s v="High"/>
    <s v="High"/>
    <s v=""/>
    <n v="3"/>
    <x v="2"/>
    <x v="5"/>
    <n v="2025"/>
    <x v="1"/>
    <s v="Open"/>
  </r>
  <r>
    <s v="TCK-1290"/>
    <d v="2025-01-03T00:00:00"/>
    <d v="2025-01-11T00:00:00"/>
    <x v="1"/>
    <s v="Resolved"/>
    <x v="3"/>
    <x v="4"/>
    <s v="Agent P"/>
    <s v="Clark"/>
    <s v="Email"/>
    <s v="High"/>
    <s v="Low"/>
    <n v="8"/>
    <n v="3"/>
    <x v="1"/>
    <x v="0"/>
    <n v="2025"/>
    <x v="0"/>
    <s v="Jan"/>
  </r>
  <r>
    <s v="TCK-1291"/>
    <d v="2025-04-18T00:00:00"/>
    <d v="2025-04-22T00:00:00"/>
    <x v="3"/>
    <s v="Resolved"/>
    <x v="4"/>
    <x v="4"/>
    <s v="Agent H"/>
    <s v="Cebu"/>
    <s v="Phone"/>
    <s v="Low"/>
    <s v="Low"/>
    <n v="4"/>
    <n v="5"/>
    <x v="0"/>
    <x v="7"/>
    <n v="2025"/>
    <x v="0"/>
    <s v="Apr"/>
  </r>
  <r>
    <s v="TCK-1292"/>
    <d v="2025-04-28T00:00:00"/>
    <d v="2025-04-29T00:00:00"/>
    <x v="3"/>
    <s v="Closed"/>
    <x v="3"/>
    <x v="2"/>
    <s v="Agent O"/>
    <s v="Makati"/>
    <s v="Chat"/>
    <s v="Low"/>
    <s v="High"/>
    <n v="1"/>
    <n v="5"/>
    <x v="0"/>
    <x v="7"/>
    <n v="2025"/>
    <x v="0"/>
    <s v="Apr"/>
  </r>
  <r>
    <s v="TCK-1293"/>
    <d v="2025-05-19T00:00:00"/>
    <m/>
    <x v="1"/>
    <s v="In Progress"/>
    <x v="4"/>
    <x v="1"/>
    <s v="Agent J"/>
    <s v="Davao"/>
    <s v="Phone"/>
    <s v="High"/>
    <s v="Medium"/>
    <s v=""/>
    <n v="3"/>
    <x v="2"/>
    <x v="9"/>
    <n v="2025"/>
    <x v="1"/>
    <s v="Open"/>
  </r>
  <r>
    <s v="TCK-1294"/>
    <d v="2025-09-08T00:00:00"/>
    <d v="2025-09-09T00:00:00"/>
    <x v="2"/>
    <s v="Closed"/>
    <x v="3"/>
    <x v="2"/>
    <s v="Agent A"/>
    <s v="Manila"/>
    <s v="Chat"/>
    <s v="Low"/>
    <s v="Low"/>
    <n v="1"/>
    <n v="1"/>
    <x v="0"/>
    <x v="10"/>
    <n v="2025"/>
    <x v="0"/>
    <s v="Sep"/>
  </r>
  <r>
    <s v="TCK-1295"/>
    <d v="2025-09-29T00:00:00"/>
    <d v="2025-10-05T00:00:00"/>
    <x v="1"/>
    <s v="Resolved"/>
    <x v="6"/>
    <x v="4"/>
    <s v="Unassigned"/>
    <s v="Clark"/>
    <s v="Chat"/>
    <s v="Low"/>
    <s v="Low"/>
    <n v="6"/>
    <n v="3"/>
    <x v="1"/>
    <x v="10"/>
    <n v="2025"/>
    <x v="0"/>
    <s v="Oct"/>
  </r>
  <r>
    <s v="TCK-1296"/>
    <d v="2025-08-21T00:00:00"/>
    <d v="2025-08-24T00:00:00"/>
    <x v="3"/>
    <s v="Resolved"/>
    <x v="5"/>
    <x v="1"/>
    <s v="Agent J"/>
    <s v="Clark"/>
    <s v="Phone"/>
    <s v="Low"/>
    <s v="High"/>
    <n v="3"/>
    <n v="5"/>
    <x v="0"/>
    <x v="3"/>
    <n v="2025"/>
    <x v="0"/>
    <s v="Aug"/>
  </r>
  <r>
    <s v="TCK-1297"/>
    <d v="2025-06-21T00:00:00"/>
    <d v="2025-06-22T00:00:00"/>
    <x v="1"/>
    <s v="Closed"/>
    <x v="6"/>
    <x v="0"/>
    <s v="Agent R"/>
    <s v="Makati"/>
    <s v="Portal"/>
    <s v="High"/>
    <s v="Low"/>
    <n v="1"/>
    <n v="3"/>
    <x v="0"/>
    <x v="6"/>
    <n v="2025"/>
    <x v="0"/>
    <s v="Jun"/>
  </r>
  <r>
    <s v="TCK-1298"/>
    <d v="2025-09-02T00:00:00"/>
    <d v="2025-09-05T00:00:00"/>
    <x v="3"/>
    <s v="Closed"/>
    <x v="6"/>
    <x v="0"/>
    <s v="Agent P"/>
    <s v="Cebu"/>
    <s v="Portal"/>
    <s v="Low"/>
    <s v="Low"/>
    <n v="3"/>
    <n v="5"/>
    <x v="0"/>
    <x v="10"/>
    <n v="2025"/>
    <x v="0"/>
    <s v="Sep"/>
  </r>
  <r>
    <s v="TCK-1299"/>
    <d v="2025-02-03T00:00:00"/>
    <m/>
    <x v="1"/>
    <s v="In Progress"/>
    <x v="6"/>
    <x v="1"/>
    <s v="Agent E"/>
    <s v="Davao"/>
    <s v="Email"/>
    <s v="Medium"/>
    <s v="Medium"/>
    <s v=""/>
    <n v="3"/>
    <x v="2"/>
    <x v="5"/>
    <n v="2025"/>
    <x v="1"/>
    <s v="Open"/>
  </r>
  <r>
    <s v="TCK-1300"/>
    <d v="2025-10-05T00:00:00"/>
    <d v="2025-10-12T00:00:00"/>
    <x v="3"/>
    <s v="Closed"/>
    <x v="0"/>
    <x v="1"/>
    <s v="Agent K"/>
    <s v="Cebu"/>
    <s v="Chat"/>
    <s v="Medium"/>
    <s v="Medium"/>
    <n v="7"/>
    <n v="5"/>
    <x v="1"/>
    <x v="4"/>
    <n v="2025"/>
    <x v="0"/>
    <s v="Oct"/>
  </r>
  <r>
    <s v="TCK-1301"/>
    <d v="2025-06-06T00:00:00"/>
    <m/>
    <x v="3"/>
    <s v="In Progress"/>
    <x v="2"/>
    <x v="2"/>
    <s v="Agent F"/>
    <s v="Makati"/>
    <s v="Phone"/>
    <s v="Low"/>
    <s v="Low"/>
    <s v=""/>
    <n v="5"/>
    <x v="2"/>
    <x v="6"/>
    <n v="2025"/>
    <x v="1"/>
    <s v="Open"/>
  </r>
  <r>
    <s v="TCK-1302"/>
    <d v="2025-03-20T00:00:00"/>
    <m/>
    <x v="1"/>
    <s v="In Progress"/>
    <x v="7"/>
    <x v="1"/>
    <s v="Agent E"/>
    <s v="Davao"/>
    <s v="Portal"/>
    <s v="High"/>
    <s v="High"/>
    <s v=""/>
    <n v="3"/>
    <x v="2"/>
    <x v="11"/>
    <n v="2025"/>
    <x v="1"/>
    <s v="Open"/>
  </r>
  <r>
    <s v="TCK-1303"/>
    <d v="2025-09-13T00:00:00"/>
    <d v="2025-09-15T00:00:00"/>
    <x v="0"/>
    <s v="Closed"/>
    <x v="1"/>
    <x v="0"/>
    <s v="Agent S"/>
    <s v="BGC"/>
    <s v="Email"/>
    <s v="Low"/>
    <s v="Medium"/>
    <n v="2"/>
    <n v="7"/>
    <x v="0"/>
    <x v="10"/>
    <n v="2025"/>
    <x v="0"/>
    <s v="Sep"/>
  </r>
  <r>
    <s v="TCK-1304"/>
    <d v="2025-03-13T00:00:00"/>
    <d v="2025-03-21T00:00:00"/>
    <x v="0"/>
    <s v="Closed"/>
    <x v="0"/>
    <x v="1"/>
    <s v="Agent C"/>
    <s v="Clark"/>
    <s v="Email"/>
    <s v="Low"/>
    <s v="Medium"/>
    <n v="8"/>
    <n v="7"/>
    <x v="1"/>
    <x v="11"/>
    <n v="2025"/>
    <x v="0"/>
    <s v="Mar"/>
  </r>
  <r>
    <s v="TCK-1305"/>
    <d v="2025-06-12T00:00:00"/>
    <d v="2025-06-16T00:00:00"/>
    <x v="0"/>
    <s v="Closed"/>
    <x v="1"/>
    <x v="3"/>
    <s v="Agent C"/>
    <s v="Clark"/>
    <s v="Chat"/>
    <s v="Medium"/>
    <s v="Medium"/>
    <n v="4"/>
    <n v="7"/>
    <x v="0"/>
    <x v="6"/>
    <n v="2025"/>
    <x v="0"/>
    <s v="Jun"/>
  </r>
  <r>
    <s v="TCK-1306"/>
    <d v="2025-08-06T00:00:00"/>
    <d v="2025-08-06T00:00:00"/>
    <x v="3"/>
    <s v="Closed"/>
    <x v="5"/>
    <x v="0"/>
    <s v="Agent C"/>
    <s v="Cebu"/>
    <s v="Phone"/>
    <s v="Low"/>
    <s v="Medium"/>
    <n v="0"/>
    <n v="5"/>
    <x v="0"/>
    <x v="3"/>
    <n v="2025"/>
    <x v="0"/>
    <s v="Aug"/>
  </r>
  <r>
    <s v="TCK-1307"/>
    <d v="2025-03-12T00:00:00"/>
    <m/>
    <x v="2"/>
    <s v="In Progress"/>
    <x v="5"/>
    <x v="0"/>
    <s v="Agent H"/>
    <s v="Makati"/>
    <s v="Portal"/>
    <s v="Medium"/>
    <s v="Low"/>
    <s v=""/>
    <n v="1"/>
    <x v="2"/>
    <x v="11"/>
    <n v="2025"/>
    <x v="1"/>
    <s v="Open"/>
  </r>
  <r>
    <s v="TCK-1308"/>
    <d v="2025-08-30T00:00:00"/>
    <m/>
    <x v="3"/>
    <s v="In Progress"/>
    <x v="7"/>
    <x v="1"/>
    <s v="Agent C"/>
    <s v="Davao"/>
    <s v="Chat"/>
    <s v="Low"/>
    <s v="Medium"/>
    <s v=""/>
    <n v="5"/>
    <x v="2"/>
    <x v="3"/>
    <n v="2025"/>
    <x v="1"/>
    <s v="Open"/>
  </r>
  <r>
    <s v="TCK-1309"/>
    <d v="2025-11-18T00:00:00"/>
    <d v="2025-11-23T00:00:00"/>
    <x v="3"/>
    <s v="Closed"/>
    <x v="4"/>
    <x v="4"/>
    <s v="Agent N"/>
    <s v="Manila"/>
    <s v="Portal"/>
    <s v="Medium"/>
    <s v="Low"/>
    <n v="5"/>
    <n v="5"/>
    <x v="0"/>
    <x v="1"/>
    <n v="2025"/>
    <x v="0"/>
    <s v="Nov"/>
  </r>
  <r>
    <s v="TCK-1310"/>
    <d v="2025-02-09T00:00:00"/>
    <d v="2025-02-11T00:00:00"/>
    <x v="1"/>
    <s v="Resolved"/>
    <x v="1"/>
    <x v="1"/>
    <s v="Agent S"/>
    <s v="Manila"/>
    <s v="Phone"/>
    <s v="Low"/>
    <s v="Medium"/>
    <n v="2"/>
    <n v="3"/>
    <x v="0"/>
    <x v="5"/>
    <n v="2025"/>
    <x v="0"/>
    <s v="Feb"/>
  </r>
  <r>
    <s v="TCK-1311"/>
    <d v="2025-09-06T00:00:00"/>
    <d v="2025-09-07T00:00:00"/>
    <x v="1"/>
    <s v="Resolved"/>
    <x v="0"/>
    <x v="4"/>
    <s v="Agent J"/>
    <s v="Iloilo"/>
    <s v="Chat"/>
    <s v="Low"/>
    <s v="Low"/>
    <n v="1"/>
    <n v="3"/>
    <x v="0"/>
    <x v="10"/>
    <n v="2025"/>
    <x v="0"/>
    <s v="Sep"/>
  </r>
  <r>
    <s v="TCK-1312"/>
    <d v="2025-06-25T00:00:00"/>
    <m/>
    <x v="2"/>
    <s v="In Progress"/>
    <x v="0"/>
    <x v="2"/>
    <s v="Agent C"/>
    <s v="Manila"/>
    <s v="Email"/>
    <s v="Medium"/>
    <s v="Medium"/>
    <s v=""/>
    <n v="1"/>
    <x v="2"/>
    <x v="6"/>
    <n v="2025"/>
    <x v="1"/>
    <s v="Open"/>
  </r>
  <r>
    <s v="TCK-1313"/>
    <d v="2025-02-25T00:00:00"/>
    <m/>
    <x v="1"/>
    <s v="Open"/>
    <x v="5"/>
    <x v="4"/>
    <s v="Agent T"/>
    <s v="Makati"/>
    <s v="Portal"/>
    <s v="High"/>
    <s v="High"/>
    <s v=""/>
    <n v="3"/>
    <x v="2"/>
    <x v="5"/>
    <n v="2025"/>
    <x v="1"/>
    <s v="Open"/>
  </r>
  <r>
    <s v="TCK-1314"/>
    <d v="2025-05-23T00:00:00"/>
    <d v="2025-05-24T00:00:00"/>
    <x v="2"/>
    <s v="Closed"/>
    <x v="0"/>
    <x v="2"/>
    <s v="Agent F"/>
    <s v="Clark"/>
    <s v="Email"/>
    <s v="High"/>
    <s v="Low"/>
    <n v="1"/>
    <n v="1"/>
    <x v="0"/>
    <x v="9"/>
    <n v="2025"/>
    <x v="0"/>
    <s v="May"/>
  </r>
  <r>
    <s v="TCK-1315"/>
    <d v="2025-09-01T00:00:00"/>
    <d v="2025-09-04T00:00:00"/>
    <x v="0"/>
    <s v="Resolved"/>
    <x v="6"/>
    <x v="1"/>
    <s v="Agent D"/>
    <s v="Iloilo"/>
    <s v="Portal"/>
    <s v="Low"/>
    <s v="Medium"/>
    <n v="3"/>
    <n v="7"/>
    <x v="0"/>
    <x v="10"/>
    <n v="2025"/>
    <x v="0"/>
    <s v="Sep"/>
  </r>
  <r>
    <s v="TCK-1316"/>
    <d v="2025-01-21T00:00:00"/>
    <m/>
    <x v="2"/>
    <s v="Open"/>
    <x v="5"/>
    <x v="0"/>
    <s v="Agent N"/>
    <s v="Iloilo"/>
    <s v="Chat"/>
    <s v="Low"/>
    <s v="Medium"/>
    <s v=""/>
    <n v="1"/>
    <x v="2"/>
    <x v="0"/>
    <n v="2025"/>
    <x v="1"/>
    <s v="Open"/>
  </r>
  <r>
    <s v="TCK-1317"/>
    <d v="2025-12-12T00:00:00"/>
    <d v="2025-12-13T00:00:00"/>
    <x v="0"/>
    <s v="Resolved"/>
    <x v="6"/>
    <x v="2"/>
    <s v="Agent G"/>
    <s v="Manila"/>
    <s v="Phone"/>
    <s v="Medium"/>
    <s v="Low"/>
    <n v="1"/>
    <n v="7"/>
    <x v="0"/>
    <x v="8"/>
    <n v="2025"/>
    <x v="0"/>
    <s v="Dec"/>
  </r>
  <r>
    <s v="TCK-1318"/>
    <d v="2025-10-25T00:00:00"/>
    <d v="2025-10-25T00:00:00"/>
    <x v="2"/>
    <s v="Resolved"/>
    <x v="2"/>
    <x v="2"/>
    <s v="Agent E"/>
    <s v="Iloilo"/>
    <s v="Email"/>
    <s v="Medium"/>
    <s v="Low"/>
    <n v="0"/>
    <n v="1"/>
    <x v="0"/>
    <x v="4"/>
    <n v="2025"/>
    <x v="0"/>
    <s v="Oct"/>
  </r>
  <r>
    <s v="TCK-1319"/>
    <d v="2025-04-02T00:00:00"/>
    <d v="2025-04-08T00:00:00"/>
    <x v="2"/>
    <s v="Resolved"/>
    <x v="5"/>
    <x v="1"/>
    <s v="Agent R"/>
    <s v="Cebu"/>
    <s v="Email"/>
    <s v="Medium"/>
    <s v="Medium"/>
    <n v="6"/>
    <n v="1"/>
    <x v="1"/>
    <x v="7"/>
    <n v="2025"/>
    <x v="0"/>
    <s v="Apr"/>
  </r>
  <r>
    <s v="TCK-1320"/>
    <d v="2025-07-12T00:00:00"/>
    <d v="2025-07-17T00:00:00"/>
    <x v="0"/>
    <s v="Resolved"/>
    <x v="7"/>
    <x v="4"/>
    <s v="Agent P"/>
    <s v="Cebu"/>
    <s v="Phone"/>
    <s v="Low"/>
    <s v="High"/>
    <n v="5"/>
    <n v="7"/>
    <x v="0"/>
    <x v="2"/>
    <n v="2025"/>
    <x v="0"/>
    <s v="Jul"/>
  </r>
  <r>
    <s v="TCK-1321"/>
    <d v="2025-09-11T00:00:00"/>
    <d v="2025-09-13T00:00:00"/>
    <x v="3"/>
    <s v="Resolved"/>
    <x v="4"/>
    <x v="0"/>
    <s v="Unassigned"/>
    <s v="Cebu"/>
    <s v="Email"/>
    <s v="Medium"/>
    <s v="Medium"/>
    <n v="2"/>
    <n v="5"/>
    <x v="0"/>
    <x v="10"/>
    <n v="2025"/>
    <x v="0"/>
    <s v="Sep"/>
  </r>
  <r>
    <s v="TCK-1322"/>
    <d v="2025-07-30T00:00:00"/>
    <d v="2025-08-05T00:00:00"/>
    <x v="0"/>
    <s v="Resolved"/>
    <x v="0"/>
    <x v="4"/>
    <s v="Agent N"/>
    <s v="BGC"/>
    <s v="Email"/>
    <s v="Low"/>
    <s v="Medium"/>
    <n v="6"/>
    <n v="7"/>
    <x v="0"/>
    <x v="2"/>
    <n v="2025"/>
    <x v="0"/>
    <s v="Aug"/>
  </r>
  <r>
    <s v="TCK-1323"/>
    <d v="2025-06-12T00:00:00"/>
    <d v="2025-06-13T00:00:00"/>
    <x v="2"/>
    <s v="Resolved"/>
    <x v="3"/>
    <x v="0"/>
    <s v="Agent N"/>
    <s v="Iloilo"/>
    <s v="Phone"/>
    <s v="Medium"/>
    <s v="Medium"/>
    <n v="1"/>
    <n v="1"/>
    <x v="0"/>
    <x v="6"/>
    <n v="2025"/>
    <x v="0"/>
    <s v="Jun"/>
  </r>
  <r>
    <s v="TCK-1324"/>
    <d v="2025-10-21T00:00:00"/>
    <d v="2025-10-22T00:00:00"/>
    <x v="3"/>
    <s v="Resolved"/>
    <x v="1"/>
    <x v="1"/>
    <s v="Agent J"/>
    <s v="Cebu"/>
    <s v="Portal"/>
    <s v="High"/>
    <s v="Medium"/>
    <n v="1"/>
    <n v="5"/>
    <x v="0"/>
    <x v="4"/>
    <n v="2025"/>
    <x v="0"/>
    <s v="Oct"/>
  </r>
  <r>
    <s v="TCK-1325"/>
    <d v="2025-11-16T00:00:00"/>
    <d v="2025-11-17T00:00:00"/>
    <x v="2"/>
    <s v="Resolved"/>
    <x v="5"/>
    <x v="0"/>
    <s v="Agent N"/>
    <s v="Davao"/>
    <s v="Phone"/>
    <s v="Medium"/>
    <s v="Medium"/>
    <n v="1"/>
    <n v="1"/>
    <x v="0"/>
    <x v="1"/>
    <n v="2025"/>
    <x v="0"/>
    <s v="Nov"/>
  </r>
  <r>
    <s v="TCK-1326"/>
    <d v="2025-03-19T00:00:00"/>
    <d v="2025-03-21T00:00:00"/>
    <x v="1"/>
    <s v="Closed"/>
    <x v="3"/>
    <x v="0"/>
    <s v="Agent H"/>
    <s v="Manila"/>
    <s v="Phone"/>
    <s v="Medium"/>
    <s v="Medium"/>
    <n v="2"/>
    <n v="3"/>
    <x v="0"/>
    <x v="11"/>
    <n v="2025"/>
    <x v="0"/>
    <s v="Mar"/>
  </r>
  <r>
    <s v="TCK-1327"/>
    <d v="2025-08-12T00:00:00"/>
    <d v="2025-08-13T00:00:00"/>
    <x v="2"/>
    <s v="Resolved"/>
    <x v="2"/>
    <x v="3"/>
    <s v="Agent B"/>
    <s v="BGC"/>
    <s v="Portal"/>
    <s v="High"/>
    <s v="Medium"/>
    <n v="1"/>
    <n v="1"/>
    <x v="0"/>
    <x v="3"/>
    <n v="2025"/>
    <x v="0"/>
    <s v="Aug"/>
  </r>
  <r>
    <s v="TCK-1328"/>
    <d v="2025-12-10T00:00:00"/>
    <d v="2025-12-15T00:00:00"/>
    <x v="2"/>
    <s v="Closed"/>
    <x v="0"/>
    <x v="1"/>
    <s v="Agent C"/>
    <s v="Iloilo"/>
    <s v="Portal"/>
    <s v="Medium"/>
    <s v="Low"/>
    <n v="5"/>
    <n v="1"/>
    <x v="1"/>
    <x v="8"/>
    <n v="2025"/>
    <x v="0"/>
    <s v="Dec"/>
  </r>
  <r>
    <s v="TCK-1329"/>
    <d v="2025-05-01T00:00:00"/>
    <d v="2025-05-04T00:00:00"/>
    <x v="1"/>
    <s v="Closed"/>
    <x v="2"/>
    <x v="4"/>
    <s v="Agent N"/>
    <s v="BGC"/>
    <s v="Phone"/>
    <s v="Medium"/>
    <s v="Medium"/>
    <n v="3"/>
    <n v="3"/>
    <x v="0"/>
    <x v="9"/>
    <n v="2025"/>
    <x v="0"/>
    <s v="May"/>
  </r>
  <r>
    <s v="TCK-1330"/>
    <d v="2025-06-07T00:00:00"/>
    <m/>
    <x v="2"/>
    <s v="Open"/>
    <x v="4"/>
    <x v="1"/>
    <s v="Agent L"/>
    <s v="Davao"/>
    <s v="Phone"/>
    <s v="Medium"/>
    <s v="Medium"/>
    <s v=""/>
    <n v="1"/>
    <x v="2"/>
    <x v="6"/>
    <n v="2025"/>
    <x v="1"/>
    <s v="Open"/>
  </r>
  <r>
    <s v="TCK-1332"/>
    <d v="2025-02-21T00:00:00"/>
    <d v="2025-02-23T00:00:00"/>
    <x v="1"/>
    <s v="Closed"/>
    <x v="1"/>
    <x v="3"/>
    <s v="Agent E"/>
    <s v="Clark"/>
    <s v="Portal"/>
    <s v="Medium"/>
    <s v="Low"/>
    <n v="2"/>
    <n v="3"/>
    <x v="0"/>
    <x v="5"/>
    <n v="2025"/>
    <x v="0"/>
    <s v="Feb"/>
  </r>
  <r>
    <s v="TCK-1333"/>
    <d v="2025-03-22T00:00:00"/>
    <m/>
    <x v="3"/>
    <s v="In Progress"/>
    <x v="7"/>
    <x v="3"/>
    <s v="Agent E"/>
    <s v="Iloilo"/>
    <s v="Portal"/>
    <s v="High"/>
    <s v="High"/>
    <s v=""/>
    <n v="5"/>
    <x v="2"/>
    <x v="11"/>
    <n v="2025"/>
    <x v="1"/>
    <s v="Open"/>
  </r>
  <r>
    <s v="TCK-1334"/>
    <d v="2025-04-04T00:00:00"/>
    <d v="2025-04-07T00:00:00"/>
    <x v="3"/>
    <s v="Resolved"/>
    <x v="3"/>
    <x v="2"/>
    <s v="Agent T"/>
    <s v="Makati"/>
    <s v="Email"/>
    <s v="Medium"/>
    <s v="High"/>
    <n v="3"/>
    <n v="5"/>
    <x v="0"/>
    <x v="7"/>
    <n v="2025"/>
    <x v="0"/>
    <s v="Apr"/>
  </r>
  <r>
    <s v="TCK-1335"/>
    <d v="2025-03-02T00:00:00"/>
    <m/>
    <x v="0"/>
    <s v="Open"/>
    <x v="5"/>
    <x v="1"/>
    <s v="Agent P"/>
    <s v="Iloilo"/>
    <s v="Phone"/>
    <s v="Low"/>
    <s v="High"/>
    <s v=""/>
    <n v="7"/>
    <x v="2"/>
    <x v="11"/>
    <n v="2025"/>
    <x v="1"/>
    <s v="Open"/>
  </r>
  <r>
    <s v="TCK-1336"/>
    <d v="2025-05-25T00:00:00"/>
    <d v="2025-05-29T00:00:00"/>
    <x v="3"/>
    <s v="Closed"/>
    <x v="2"/>
    <x v="3"/>
    <s v="Agent P"/>
    <s v="Clark"/>
    <s v="Chat"/>
    <s v="Low"/>
    <s v="High"/>
    <n v="4"/>
    <n v="5"/>
    <x v="0"/>
    <x v="9"/>
    <n v="2025"/>
    <x v="0"/>
    <s v="May"/>
  </r>
  <r>
    <s v="TCK-1337"/>
    <d v="2025-12-29T00:00:00"/>
    <d v="2025-12-31T00:00:00"/>
    <x v="0"/>
    <s v="Resolved"/>
    <x v="5"/>
    <x v="0"/>
    <s v="Agent B"/>
    <s v="BGC"/>
    <s v="Chat"/>
    <s v="Low"/>
    <s v="Medium"/>
    <n v="2"/>
    <n v="7"/>
    <x v="0"/>
    <x v="8"/>
    <n v="2025"/>
    <x v="0"/>
    <s v="Dec"/>
  </r>
  <r>
    <s v="TCK-1338"/>
    <d v="2025-10-14T00:00:00"/>
    <m/>
    <x v="2"/>
    <s v="Open"/>
    <x v="5"/>
    <x v="0"/>
    <s v="Agent I"/>
    <s v="Makati"/>
    <s v="Chat"/>
    <s v="Medium"/>
    <s v="Low"/>
    <s v=""/>
    <n v="1"/>
    <x v="2"/>
    <x v="4"/>
    <n v="2025"/>
    <x v="1"/>
    <s v="Open"/>
  </r>
  <r>
    <s v="TCK-1339"/>
    <d v="2025-08-09T00:00:00"/>
    <d v="2025-08-12T00:00:00"/>
    <x v="1"/>
    <s v="Resolved"/>
    <x v="7"/>
    <x v="3"/>
    <s v="Agent E"/>
    <s v="Manila"/>
    <s v="Chat"/>
    <s v="Medium"/>
    <s v="High"/>
    <n v="3"/>
    <n v="3"/>
    <x v="0"/>
    <x v="3"/>
    <n v="2025"/>
    <x v="0"/>
    <s v="Aug"/>
  </r>
  <r>
    <s v="TCK-1340"/>
    <d v="2025-08-12T00:00:00"/>
    <m/>
    <x v="3"/>
    <s v="Open"/>
    <x v="5"/>
    <x v="2"/>
    <s v="Agent C"/>
    <s v="Makati"/>
    <s v="Phone"/>
    <s v="Low"/>
    <s v="Low"/>
    <s v=""/>
    <n v="5"/>
    <x v="2"/>
    <x v="3"/>
    <n v="2025"/>
    <x v="1"/>
    <s v="Open"/>
  </r>
  <r>
    <s v="TCK-1341"/>
    <d v="2025-10-16T00:00:00"/>
    <d v="2025-10-16T00:00:00"/>
    <x v="2"/>
    <s v="Closed"/>
    <x v="6"/>
    <x v="1"/>
    <s v="Unassigned"/>
    <s v="Cebu"/>
    <s v="Portal"/>
    <s v="Low"/>
    <s v="High"/>
    <n v="0"/>
    <n v="1"/>
    <x v="0"/>
    <x v="4"/>
    <n v="2025"/>
    <x v="0"/>
    <s v="Oct"/>
  </r>
  <r>
    <s v="TCK-1342"/>
    <d v="2025-03-20T00:00:00"/>
    <m/>
    <x v="3"/>
    <s v="Open"/>
    <x v="5"/>
    <x v="5"/>
    <s v="Agent T"/>
    <s v="Clark"/>
    <s v="Phone"/>
    <s v="High"/>
    <s v="High"/>
    <s v=""/>
    <n v="5"/>
    <x v="2"/>
    <x v="11"/>
    <n v="2025"/>
    <x v="1"/>
    <s v="Open"/>
  </r>
  <r>
    <s v="TCK-1343"/>
    <d v="2025-05-25T00:00:00"/>
    <d v="2025-05-26T00:00:00"/>
    <x v="1"/>
    <s v="Resolved"/>
    <x v="2"/>
    <x v="2"/>
    <s v="Agent M"/>
    <s v="Manila"/>
    <s v="Portal"/>
    <s v="Medium"/>
    <s v="Medium"/>
    <n v="1"/>
    <n v="3"/>
    <x v="0"/>
    <x v="9"/>
    <n v="2025"/>
    <x v="0"/>
    <s v="May"/>
  </r>
  <r>
    <s v="TCK-1344"/>
    <d v="2025-06-08T00:00:00"/>
    <d v="2025-06-11T00:00:00"/>
    <x v="0"/>
    <s v="Closed"/>
    <x v="5"/>
    <x v="3"/>
    <s v="Agent T"/>
    <s v="Manila"/>
    <s v="Email"/>
    <s v="Low"/>
    <s v="Medium"/>
    <n v="3"/>
    <n v="7"/>
    <x v="0"/>
    <x v="6"/>
    <n v="2025"/>
    <x v="0"/>
    <s v="Jun"/>
  </r>
  <r>
    <s v="TCK-1345"/>
    <d v="2025-12-13T00:00:00"/>
    <m/>
    <x v="1"/>
    <s v="In Progress"/>
    <x v="5"/>
    <x v="4"/>
    <s v="Agent P"/>
    <s v="Clark"/>
    <s v="Portal"/>
    <s v="High"/>
    <s v="Low"/>
    <s v=""/>
    <n v="3"/>
    <x v="2"/>
    <x v="8"/>
    <n v="2025"/>
    <x v="1"/>
    <s v="Open"/>
  </r>
  <r>
    <s v="TCK-1346"/>
    <d v="2025-10-19T00:00:00"/>
    <m/>
    <x v="2"/>
    <s v="Open"/>
    <x v="0"/>
    <x v="1"/>
    <s v="Agent S"/>
    <s v="Manila"/>
    <s v="Chat"/>
    <s v="High"/>
    <s v="High"/>
    <s v=""/>
    <n v="1"/>
    <x v="2"/>
    <x v="4"/>
    <n v="2025"/>
    <x v="1"/>
    <s v="Open"/>
  </r>
  <r>
    <s v="TCK-1347"/>
    <d v="2025-01-24T00:00:00"/>
    <m/>
    <x v="3"/>
    <s v="Open"/>
    <x v="5"/>
    <x v="2"/>
    <s v="Agent C"/>
    <s v="Iloilo"/>
    <s v="Email"/>
    <s v="Medium"/>
    <s v="Low"/>
    <s v=""/>
    <n v="5"/>
    <x v="2"/>
    <x v="0"/>
    <n v="2025"/>
    <x v="1"/>
    <s v="Open"/>
  </r>
  <r>
    <s v="TCK-1349"/>
    <d v="2025-04-08T00:00:00"/>
    <m/>
    <x v="1"/>
    <s v="Open"/>
    <x v="4"/>
    <x v="0"/>
    <s v="Agent J"/>
    <s v="Cebu"/>
    <s v="Chat"/>
    <s v="High"/>
    <s v="High"/>
    <s v=""/>
    <n v="3"/>
    <x v="2"/>
    <x v="7"/>
    <n v="2025"/>
    <x v="1"/>
    <s v="Open"/>
  </r>
  <r>
    <s v="TCK-1350"/>
    <d v="2025-03-20T00:00:00"/>
    <d v="2025-03-30T00:00:00"/>
    <x v="0"/>
    <s v="Closed"/>
    <x v="3"/>
    <x v="4"/>
    <s v="Agent N"/>
    <s v="Clark"/>
    <s v="Portal"/>
    <s v="High"/>
    <s v="Medium"/>
    <n v="10"/>
    <n v="7"/>
    <x v="1"/>
    <x v="11"/>
    <n v="2025"/>
    <x v="0"/>
    <s v="Mar"/>
  </r>
  <r>
    <s v="TCK-1351"/>
    <d v="2025-09-20T00:00:00"/>
    <d v="2025-09-23T00:00:00"/>
    <x v="0"/>
    <s v="Resolved"/>
    <x v="0"/>
    <x v="0"/>
    <s v="Agent L"/>
    <s v="Manila"/>
    <s v="Phone"/>
    <s v="Medium"/>
    <s v="Low"/>
    <n v="3"/>
    <n v="7"/>
    <x v="0"/>
    <x v="10"/>
    <n v="2025"/>
    <x v="0"/>
    <s v="Sep"/>
  </r>
  <r>
    <s v="TCK-1352"/>
    <d v="2025-06-26T00:00:00"/>
    <d v="2025-06-30T00:00:00"/>
    <x v="3"/>
    <s v="Resolved"/>
    <x v="5"/>
    <x v="1"/>
    <s v="Agent F"/>
    <s v="Clark"/>
    <s v="Email"/>
    <s v="Low"/>
    <s v="Medium"/>
    <n v="4"/>
    <n v="5"/>
    <x v="0"/>
    <x v="6"/>
    <n v="2025"/>
    <x v="0"/>
    <s v="Jun"/>
  </r>
  <r>
    <s v="TCK-1353"/>
    <d v="2025-04-13T00:00:00"/>
    <m/>
    <x v="1"/>
    <s v="In Progress"/>
    <x v="5"/>
    <x v="5"/>
    <s v="Agent L"/>
    <s v="Iloilo"/>
    <s v="Email"/>
    <s v="High"/>
    <s v="Medium"/>
    <s v=""/>
    <n v="3"/>
    <x v="2"/>
    <x v="7"/>
    <n v="2025"/>
    <x v="1"/>
    <s v="Open"/>
  </r>
  <r>
    <s v="TCK-1354"/>
    <d v="2025-11-13T00:00:00"/>
    <m/>
    <x v="2"/>
    <s v="In Progress"/>
    <x v="1"/>
    <x v="2"/>
    <s v="Agent Q"/>
    <s v="Clark"/>
    <s v="Email"/>
    <s v="Medium"/>
    <s v="Medium"/>
    <s v=""/>
    <n v="1"/>
    <x v="2"/>
    <x v="1"/>
    <n v="2025"/>
    <x v="1"/>
    <s v="Open"/>
  </r>
  <r>
    <s v="TCK-1355"/>
    <d v="2025-02-26T00:00:00"/>
    <d v="2025-03-06T00:00:00"/>
    <x v="3"/>
    <s v="Closed"/>
    <x v="3"/>
    <x v="0"/>
    <s v="Agent D"/>
    <s v="BGC"/>
    <s v="Phone"/>
    <s v="High"/>
    <s v="High"/>
    <n v="8"/>
    <n v="5"/>
    <x v="1"/>
    <x v="5"/>
    <n v="2025"/>
    <x v="0"/>
    <s v="Mar"/>
  </r>
  <r>
    <s v="TCK-1356"/>
    <d v="2025-08-01T00:00:00"/>
    <d v="2025-08-05T00:00:00"/>
    <x v="1"/>
    <s v="Closed"/>
    <x v="0"/>
    <x v="2"/>
    <s v="Agent Q"/>
    <s v="Makati"/>
    <s v="Chat"/>
    <s v="Medium"/>
    <s v="Medium"/>
    <n v="4"/>
    <n v="3"/>
    <x v="1"/>
    <x v="3"/>
    <n v="2025"/>
    <x v="0"/>
    <s v="Aug"/>
  </r>
  <r>
    <s v="TCK-1357"/>
    <d v="2025-09-22T00:00:00"/>
    <d v="2025-09-22T00:00:00"/>
    <x v="1"/>
    <s v="Closed"/>
    <x v="0"/>
    <x v="4"/>
    <s v="Agent B"/>
    <s v="Davao"/>
    <s v="Email"/>
    <s v="Low"/>
    <s v="Low"/>
    <n v="0"/>
    <n v="3"/>
    <x v="0"/>
    <x v="10"/>
    <n v="2025"/>
    <x v="0"/>
    <s v="Sep"/>
  </r>
  <r>
    <s v="TCK-1358"/>
    <d v="2025-09-24T00:00:00"/>
    <d v="2025-09-28T00:00:00"/>
    <x v="0"/>
    <s v="Closed"/>
    <x v="1"/>
    <x v="2"/>
    <s v="Agent O"/>
    <s v="Clark"/>
    <s v="Portal"/>
    <s v="Low"/>
    <s v="Medium"/>
    <n v="4"/>
    <n v="7"/>
    <x v="0"/>
    <x v="10"/>
    <n v="2025"/>
    <x v="0"/>
    <s v="Sep"/>
  </r>
  <r>
    <s v="TCK-1359"/>
    <d v="2025-06-04T00:00:00"/>
    <m/>
    <x v="3"/>
    <s v="Open"/>
    <x v="7"/>
    <x v="1"/>
    <s v="Agent F"/>
    <s v="Makati"/>
    <s v="Portal"/>
    <s v="Low"/>
    <s v="Medium"/>
    <s v=""/>
    <n v="5"/>
    <x v="2"/>
    <x v="6"/>
    <n v="2025"/>
    <x v="1"/>
    <s v="Open"/>
  </r>
  <r>
    <s v="TCK-1360"/>
    <d v="2025-02-26T00:00:00"/>
    <d v="2025-03-03T00:00:00"/>
    <x v="1"/>
    <s v="Closed"/>
    <x v="0"/>
    <x v="2"/>
    <s v="Agent S"/>
    <s v="BGC"/>
    <s v="Portal"/>
    <s v="Medium"/>
    <s v="Low"/>
    <n v="5"/>
    <n v="3"/>
    <x v="1"/>
    <x v="5"/>
    <n v="2025"/>
    <x v="0"/>
    <s v="Mar"/>
  </r>
  <r>
    <s v="TCK-1361"/>
    <d v="2025-10-21T00:00:00"/>
    <d v="2025-10-26T00:00:00"/>
    <x v="0"/>
    <s v="Closed"/>
    <x v="1"/>
    <x v="4"/>
    <s v="Agent E"/>
    <s v="Manila"/>
    <s v="Portal"/>
    <s v="Low"/>
    <s v="Low"/>
    <n v="5"/>
    <n v="7"/>
    <x v="0"/>
    <x v="4"/>
    <n v="2025"/>
    <x v="0"/>
    <s v="Oct"/>
  </r>
  <r>
    <s v="TCK-1362"/>
    <d v="2025-10-14T00:00:00"/>
    <d v="2025-10-15T00:00:00"/>
    <x v="2"/>
    <s v="Resolved"/>
    <x v="5"/>
    <x v="3"/>
    <s v="Agent E"/>
    <s v="Clark"/>
    <s v="Phone"/>
    <s v="Medium"/>
    <s v="Medium"/>
    <n v="1"/>
    <n v="1"/>
    <x v="0"/>
    <x v="4"/>
    <n v="2025"/>
    <x v="0"/>
    <s v="Oct"/>
  </r>
  <r>
    <s v="TCK-1363"/>
    <d v="2025-03-22T00:00:00"/>
    <d v="2025-03-25T00:00:00"/>
    <x v="1"/>
    <s v="Closed"/>
    <x v="1"/>
    <x v="1"/>
    <s v="Agent P"/>
    <s v="Makati"/>
    <s v="Chat"/>
    <s v="High"/>
    <s v="Medium"/>
    <n v="3"/>
    <n v="3"/>
    <x v="0"/>
    <x v="11"/>
    <n v="2025"/>
    <x v="0"/>
    <s v="Mar"/>
  </r>
  <r>
    <s v="TCK-1364"/>
    <d v="2025-04-21T00:00:00"/>
    <m/>
    <x v="1"/>
    <s v="In Progress"/>
    <x v="1"/>
    <x v="3"/>
    <s v="Agent M"/>
    <s v="Iloilo"/>
    <s v="Phone"/>
    <s v="Low"/>
    <s v="Low"/>
    <s v=""/>
    <n v="3"/>
    <x v="2"/>
    <x v="7"/>
    <n v="2025"/>
    <x v="1"/>
    <s v="Open"/>
  </r>
  <r>
    <s v="TCK-1365"/>
    <d v="2025-08-19T00:00:00"/>
    <d v="2025-08-20T00:00:00"/>
    <x v="2"/>
    <s v="Closed"/>
    <x v="6"/>
    <x v="3"/>
    <s v="Agent C"/>
    <s v="Davao"/>
    <s v="Portal"/>
    <s v="Low"/>
    <s v="Low"/>
    <n v="1"/>
    <n v="1"/>
    <x v="0"/>
    <x v="3"/>
    <n v="2025"/>
    <x v="0"/>
    <s v="Aug"/>
  </r>
  <r>
    <s v="TCK-1366"/>
    <d v="2025-10-14T00:00:00"/>
    <m/>
    <x v="2"/>
    <s v="Open"/>
    <x v="4"/>
    <x v="4"/>
    <s v="Agent R"/>
    <s v="BGC"/>
    <s v="Phone"/>
    <s v="High"/>
    <s v="Low"/>
    <s v=""/>
    <n v="1"/>
    <x v="2"/>
    <x v="4"/>
    <n v="2025"/>
    <x v="1"/>
    <s v="Open"/>
  </r>
  <r>
    <s v="TCK-1367"/>
    <d v="2025-10-24T00:00:00"/>
    <d v="2025-10-26T00:00:00"/>
    <x v="3"/>
    <s v="Resolved"/>
    <x v="6"/>
    <x v="4"/>
    <s v="Agent D"/>
    <s v="Makati"/>
    <s v="Phone"/>
    <s v="Medium"/>
    <s v="High"/>
    <n v="2"/>
    <n v="5"/>
    <x v="0"/>
    <x v="4"/>
    <n v="2025"/>
    <x v="0"/>
    <s v="Oct"/>
  </r>
  <r>
    <s v="TCK-1368"/>
    <d v="2025-07-28T00:00:00"/>
    <d v="2025-07-31T00:00:00"/>
    <x v="1"/>
    <s v="Closed"/>
    <x v="6"/>
    <x v="4"/>
    <s v="Agent H"/>
    <s v="Cebu"/>
    <s v="Chat"/>
    <s v="High"/>
    <s v="Medium"/>
    <n v="3"/>
    <n v="3"/>
    <x v="0"/>
    <x v="2"/>
    <n v="2025"/>
    <x v="0"/>
    <s v="Jul"/>
  </r>
  <r>
    <s v="TCK-1369"/>
    <d v="2025-08-26T00:00:00"/>
    <d v="2025-08-26T00:00:00"/>
    <x v="1"/>
    <s v="Resolved"/>
    <x v="2"/>
    <x v="2"/>
    <s v="Agent N"/>
    <s v="Iloilo"/>
    <s v="Phone"/>
    <s v="Medium"/>
    <s v="Low"/>
    <n v="0"/>
    <n v="3"/>
    <x v="0"/>
    <x v="3"/>
    <n v="2025"/>
    <x v="0"/>
    <s v="Aug"/>
  </r>
  <r>
    <s v="TCK-1370"/>
    <d v="2025-05-06T00:00:00"/>
    <d v="2025-05-09T00:00:00"/>
    <x v="1"/>
    <s v="Resolved"/>
    <x v="2"/>
    <x v="1"/>
    <s v="Agent M"/>
    <s v="Davao"/>
    <s v="Portal"/>
    <s v="High"/>
    <s v="High"/>
    <n v="3"/>
    <n v="3"/>
    <x v="0"/>
    <x v="9"/>
    <n v="2025"/>
    <x v="0"/>
    <s v="May"/>
  </r>
  <r>
    <s v="TCK-1371"/>
    <d v="2025-10-16T00:00:00"/>
    <m/>
    <x v="3"/>
    <s v="Open"/>
    <x v="7"/>
    <x v="0"/>
    <s v="Agent K"/>
    <s v="Clark"/>
    <s v="Portal"/>
    <s v="Low"/>
    <s v="Medium"/>
    <s v=""/>
    <n v="5"/>
    <x v="2"/>
    <x v="4"/>
    <n v="2025"/>
    <x v="1"/>
    <s v="Open"/>
  </r>
  <r>
    <s v="TCK-1372"/>
    <d v="2025-12-06T00:00:00"/>
    <d v="2025-12-06T00:00:00"/>
    <x v="2"/>
    <s v="Closed"/>
    <x v="7"/>
    <x v="2"/>
    <s v="Agent P"/>
    <s v="Iloilo"/>
    <s v="Email"/>
    <s v="Low"/>
    <s v="High"/>
    <n v="0"/>
    <n v="1"/>
    <x v="0"/>
    <x v="8"/>
    <n v="2025"/>
    <x v="0"/>
    <s v="Dec"/>
  </r>
  <r>
    <s v="TCK-1373"/>
    <d v="2025-12-10T00:00:00"/>
    <d v="2025-12-11T00:00:00"/>
    <x v="2"/>
    <s v="Resolved"/>
    <x v="7"/>
    <x v="1"/>
    <s v="Agent O"/>
    <s v="Iloilo"/>
    <s v="Portal"/>
    <s v="Low"/>
    <s v="Low"/>
    <n v="1"/>
    <n v="1"/>
    <x v="0"/>
    <x v="8"/>
    <n v="2025"/>
    <x v="0"/>
    <s v="Dec"/>
  </r>
  <r>
    <s v="TCK-1374"/>
    <d v="2025-02-16T00:00:00"/>
    <d v="2025-02-20T00:00:00"/>
    <x v="3"/>
    <s v="Closed"/>
    <x v="4"/>
    <x v="2"/>
    <s v="Agent M"/>
    <s v="Davao"/>
    <s v="Chat"/>
    <s v="High"/>
    <s v="Low"/>
    <n v="4"/>
    <n v="5"/>
    <x v="0"/>
    <x v="5"/>
    <n v="2025"/>
    <x v="0"/>
    <s v="Feb"/>
  </r>
  <r>
    <s v="TCK-1375"/>
    <d v="2025-10-17T00:00:00"/>
    <d v="2025-10-17T00:00:00"/>
    <x v="0"/>
    <s v="Closed"/>
    <x v="3"/>
    <x v="4"/>
    <s v="Agent R"/>
    <s v="Manila"/>
    <s v="Chat"/>
    <s v="Low"/>
    <s v="Low"/>
    <n v="0"/>
    <n v="7"/>
    <x v="0"/>
    <x v="4"/>
    <n v="2025"/>
    <x v="0"/>
    <s v="Oct"/>
  </r>
  <r>
    <s v="TCK-1376"/>
    <d v="2025-01-27T00:00:00"/>
    <d v="2025-01-30T00:00:00"/>
    <x v="3"/>
    <s v="Closed"/>
    <x v="5"/>
    <x v="4"/>
    <s v="Agent N"/>
    <s v="Manila"/>
    <s v="Chat"/>
    <s v="High"/>
    <s v="Medium"/>
    <n v="3"/>
    <n v="5"/>
    <x v="0"/>
    <x v="0"/>
    <n v="2025"/>
    <x v="0"/>
    <s v="Jan"/>
  </r>
  <r>
    <s v="TCK-1377"/>
    <d v="2025-10-20T00:00:00"/>
    <d v="2025-10-23T00:00:00"/>
    <x v="3"/>
    <s v="Closed"/>
    <x v="7"/>
    <x v="5"/>
    <s v="Agent A"/>
    <s v="Iloilo"/>
    <s v="Portal"/>
    <s v="High"/>
    <s v="High"/>
    <n v="3"/>
    <n v="5"/>
    <x v="0"/>
    <x v="4"/>
    <n v="2025"/>
    <x v="0"/>
    <s v="Oct"/>
  </r>
  <r>
    <s v="TCK-1378"/>
    <d v="2025-06-24T00:00:00"/>
    <d v="2025-06-24T00:00:00"/>
    <x v="2"/>
    <s v="Closed"/>
    <x v="5"/>
    <x v="4"/>
    <s v="Agent M"/>
    <s v="Iloilo"/>
    <s v="Phone"/>
    <s v="High"/>
    <s v="Medium"/>
    <n v="0"/>
    <n v="1"/>
    <x v="0"/>
    <x v="6"/>
    <n v="2025"/>
    <x v="0"/>
    <s v="Jun"/>
  </r>
  <r>
    <s v="TCK-1379"/>
    <d v="2025-11-09T00:00:00"/>
    <d v="2025-11-11T00:00:00"/>
    <x v="0"/>
    <s v="Closed"/>
    <x v="6"/>
    <x v="0"/>
    <s v="Unassigned"/>
    <s v="Davao"/>
    <s v="Email"/>
    <s v="Medium"/>
    <s v="Low"/>
    <n v="2"/>
    <n v="7"/>
    <x v="0"/>
    <x v="1"/>
    <n v="2025"/>
    <x v="0"/>
    <s v="Nov"/>
  </r>
  <r>
    <s v="TCK-1380"/>
    <d v="2025-01-14T00:00:00"/>
    <d v="2025-01-15T00:00:00"/>
    <x v="1"/>
    <s v="Resolved"/>
    <x v="3"/>
    <x v="3"/>
    <s v="Agent O"/>
    <s v="Iloilo"/>
    <s v="Email"/>
    <s v="High"/>
    <s v="High"/>
    <n v="1"/>
    <n v="3"/>
    <x v="0"/>
    <x v="0"/>
    <n v="2025"/>
    <x v="0"/>
    <s v="Jan"/>
  </r>
  <r>
    <s v="TCK-1381"/>
    <d v="2025-08-12T00:00:00"/>
    <d v="2025-08-12T00:00:00"/>
    <x v="2"/>
    <s v="Resolved"/>
    <x v="2"/>
    <x v="2"/>
    <s v="Agent Q"/>
    <s v="Cebu"/>
    <s v="Portal"/>
    <s v="High"/>
    <s v="High"/>
    <n v="0"/>
    <n v="1"/>
    <x v="0"/>
    <x v="3"/>
    <n v="2025"/>
    <x v="0"/>
    <s v="Aug"/>
  </r>
  <r>
    <s v="TCK-1382"/>
    <d v="2025-04-14T00:00:00"/>
    <d v="2025-04-14T00:00:00"/>
    <x v="2"/>
    <s v="Closed"/>
    <x v="1"/>
    <x v="1"/>
    <s v="Agent O"/>
    <s v="Cebu"/>
    <s v="Phone"/>
    <s v="High"/>
    <s v="Low"/>
    <n v="0"/>
    <n v="1"/>
    <x v="0"/>
    <x v="7"/>
    <n v="2025"/>
    <x v="0"/>
    <s v="Apr"/>
  </r>
  <r>
    <s v="TCK-1383"/>
    <d v="2025-04-28T00:00:00"/>
    <d v="2025-05-03T00:00:00"/>
    <x v="3"/>
    <s v="Resolved"/>
    <x v="6"/>
    <x v="4"/>
    <s v="Agent R"/>
    <s v="Cebu"/>
    <s v="Phone"/>
    <s v="Low"/>
    <s v="Low"/>
    <n v="5"/>
    <n v="5"/>
    <x v="0"/>
    <x v="7"/>
    <n v="2025"/>
    <x v="0"/>
    <s v="May"/>
  </r>
  <r>
    <s v="TCK-1384"/>
    <d v="2025-07-04T00:00:00"/>
    <m/>
    <x v="3"/>
    <s v="Open"/>
    <x v="7"/>
    <x v="2"/>
    <s v="Agent A"/>
    <s v="Manila"/>
    <s v="Email"/>
    <s v="Low"/>
    <s v="High"/>
    <s v=""/>
    <n v="5"/>
    <x v="2"/>
    <x v="2"/>
    <n v="2025"/>
    <x v="1"/>
    <s v="Open"/>
  </r>
  <r>
    <s v="TCK-1385"/>
    <d v="2025-02-26T00:00:00"/>
    <d v="2025-03-01T00:00:00"/>
    <x v="3"/>
    <s v="Resolved"/>
    <x v="6"/>
    <x v="2"/>
    <s v="Agent M"/>
    <s v="Davao"/>
    <s v="Chat"/>
    <s v="Low"/>
    <s v="High"/>
    <n v="3"/>
    <n v="5"/>
    <x v="0"/>
    <x v="5"/>
    <n v="2025"/>
    <x v="0"/>
    <s v="Mar"/>
  </r>
  <r>
    <s v="TCK-1386"/>
    <d v="2025-11-12T00:00:00"/>
    <d v="2025-11-13T00:00:00"/>
    <x v="0"/>
    <s v="Resolved"/>
    <x v="7"/>
    <x v="4"/>
    <s v="Agent T"/>
    <s v="Iloilo"/>
    <s v="Portal"/>
    <s v="Medium"/>
    <s v="Low"/>
    <n v="1"/>
    <n v="7"/>
    <x v="0"/>
    <x v="1"/>
    <n v="2025"/>
    <x v="0"/>
    <s v="Nov"/>
  </r>
  <r>
    <s v="TCK-1387"/>
    <d v="2025-06-14T00:00:00"/>
    <d v="2025-06-14T00:00:00"/>
    <x v="3"/>
    <s v="Closed"/>
    <x v="4"/>
    <x v="2"/>
    <s v="Agent M"/>
    <s v="BGC"/>
    <s v="Email"/>
    <s v="High"/>
    <s v="High"/>
    <n v="0"/>
    <n v="5"/>
    <x v="0"/>
    <x v="6"/>
    <n v="2025"/>
    <x v="0"/>
    <s v="Jun"/>
  </r>
  <r>
    <s v="TCK-1388"/>
    <d v="2025-09-23T00:00:00"/>
    <d v="2025-09-28T00:00:00"/>
    <x v="3"/>
    <s v="Resolved"/>
    <x v="6"/>
    <x v="5"/>
    <s v="Agent I"/>
    <s v="Manila"/>
    <s v="Portal"/>
    <s v="Low"/>
    <s v="Low"/>
    <n v="5"/>
    <n v="5"/>
    <x v="0"/>
    <x v="10"/>
    <n v="2025"/>
    <x v="0"/>
    <s v="Sep"/>
  </r>
  <r>
    <s v="TCK-1389"/>
    <d v="2025-02-10T00:00:00"/>
    <d v="2025-02-12T00:00:00"/>
    <x v="3"/>
    <s v="Closed"/>
    <x v="3"/>
    <x v="1"/>
    <s v="Agent T"/>
    <s v="Manila"/>
    <s v="Portal"/>
    <s v="Medium"/>
    <s v="Medium"/>
    <n v="2"/>
    <n v="5"/>
    <x v="0"/>
    <x v="5"/>
    <n v="2025"/>
    <x v="0"/>
    <s v="Feb"/>
  </r>
  <r>
    <s v="TCK-1390"/>
    <d v="2025-07-26T00:00:00"/>
    <d v="2025-08-01T00:00:00"/>
    <x v="0"/>
    <s v="Closed"/>
    <x v="6"/>
    <x v="0"/>
    <s v="Agent O"/>
    <s v="BGC"/>
    <s v="Email"/>
    <s v="Medium"/>
    <s v="High"/>
    <n v="6"/>
    <n v="7"/>
    <x v="0"/>
    <x v="2"/>
    <n v="2025"/>
    <x v="0"/>
    <s v="Aug"/>
  </r>
  <r>
    <s v="TCK-1391"/>
    <d v="2025-12-24T00:00:00"/>
    <d v="2025-12-30T00:00:00"/>
    <x v="0"/>
    <s v="Resolved"/>
    <x v="7"/>
    <x v="1"/>
    <s v="Agent N"/>
    <s v="Iloilo"/>
    <s v="Portal"/>
    <s v="Medium"/>
    <s v="Low"/>
    <n v="6"/>
    <n v="7"/>
    <x v="0"/>
    <x v="8"/>
    <n v="2025"/>
    <x v="0"/>
    <s v="Dec"/>
  </r>
  <r>
    <s v="TCK-1392"/>
    <d v="2025-01-17T00:00:00"/>
    <d v="2025-01-21T00:00:00"/>
    <x v="0"/>
    <s v="Closed"/>
    <x v="6"/>
    <x v="2"/>
    <s v="Agent K"/>
    <s v="Clark"/>
    <s v="Portal"/>
    <s v="High"/>
    <s v="High"/>
    <n v="4"/>
    <n v="7"/>
    <x v="0"/>
    <x v="0"/>
    <n v="2025"/>
    <x v="0"/>
    <s v="Jan"/>
  </r>
  <r>
    <s v="TCK-1393"/>
    <d v="2025-10-11T00:00:00"/>
    <m/>
    <x v="2"/>
    <s v="In Progress"/>
    <x v="4"/>
    <x v="2"/>
    <s v="Agent Q"/>
    <s v="BGC"/>
    <s v="Email"/>
    <s v="High"/>
    <s v="Medium"/>
    <s v=""/>
    <n v="1"/>
    <x v="2"/>
    <x v="4"/>
    <n v="2025"/>
    <x v="1"/>
    <s v="Open"/>
  </r>
  <r>
    <s v="TCK-1394"/>
    <d v="2025-07-30T00:00:00"/>
    <d v="2025-08-01T00:00:00"/>
    <x v="1"/>
    <s v="Resolved"/>
    <x v="3"/>
    <x v="3"/>
    <s v="Agent S"/>
    <s v="Davao"/>
    <s v="Chat"/>
    <s v="Medium"/>
    <s v="High"/>
    <n v="2"/>
    <n v="3"/>
    <x v="0"/>
    <x v="2"/>
    <n v="2025"/>
    <x v="0"/>
    <s v="Aug"/>
  </r>
  <r>
    <s v="TCK-1396"/>
    <d v="2025-11-13T00:00:00"/>
    <d v="2025-11-14T00:00:00"/>
    <x v="1"/>
    <s v="Closed"/>
    <x v="4"/>
    <x v="1"/>
    <s v="Agent C"/>
    <s v="Cebu"/>
    <s v="Chat"/>
    <s v="Low"/>
    <s v="High"/>
    <n v="1"/>
    <n v="3"/>
    <x v="0"/>
    <x v="1"/>
    <n v="2025"/>
    <x v="0"/>
    <s v="Nov"/>
  </r>
  <r>
    <s v="TCK-1397"/>
    <d v="2025-02-09T00:00:00"/>
    <d v="2025-02-12T00:00:00"/>
    <x v="3"/>
    <s v="Closed"/>
    <x v="4"/>
    <x v="3"/>
    <s v="Agent M"/>
    <s v="Manila"/>
    <s v="Phone"/>
    <s v="Medium"/>
    <s v="Low"/>
    <n v="3"/>
    <n v="5"/>
    <x v="0"/>
    <x v="5"/>
    <n v="2025"/>
    <x v="0"/>
    <s v="Feb"/>
  </r>
  <r>
    <s v="TCK-1398"/>
    <d v="2025-09-06T00:00:00"/>
    <d v="2025-09-07T00:00:00"/>
    <x v="2"/>
    <s v="Resolved"/>
    <x v="2"/>
    <x v="1"/>
    <s v="Agent M"/>
    <s v="Clark"/>
    <s v="Portal"/>
    <s v="High"/>
    <s v="Medium"/>
    <n v="1"/>
    <n v="1"/>
    <x v="0"/>
    <x v="10"/>
    <n v="2025"/>
    <x v="0"/>
    <s v="Sep"/>
  </r>
  <r>
    <s v="TCK-1399"/>
    <d v="2025-04-21T00:00:00"/>
    <d v="2025-04-21T00:00:00"/>
    <x v="3"/>
    <s v="Closed"/>
    <x v="0"/>
    <x v="5"/>
    <s v="Agent G"/>
    <s v="Makati"/>
    <s v="Phone"/>
    <s v="High"/>
    <s v="High"/>
    <n v="0"/>
    <n v="5"/>
    <x v="0"/>
    <x v="7"/>
    <n v="2025"/>
    <x v="0"/>
    <s v="Apr"/>
  </r>
  <r>
    <s v="TCK-1400"/>
    <d v="2025-01-08T00:00:00"/>
    <d v="2025-01-08T00:00:00"/>
    <x v="0"/>
    <s v="Resolved"/>
    <x v="7"/>
    <x v="1"/>
    <s v="Agent G"/>
    <s v="Cebu"/>
    <s v="Email"/>
    <s v="High"/>
    <s v="High"/>
    <n v="0"/>
    <n v="7"/>
    <x v="0"/>
    <x v="0"/>
    <n v="2025"/>
    <x v="0"/>
    <s v="Jan"/>
  </r>
  <r>
    <s v="TCK-1401"/>
    <d v="2025-06-15T00:00:00"/>
    <m/>
    <x v="0"/>
    <s v="In Progress"/>
    <x v="6"/>
    <x v="0"/>
    <s v="Agent C"/>
    <s v="BGC"/>
    <s v="Chat"/>
    <s v="High"/>
    <s v="Low"/>
    <s v=""/>
    <n v="7"/>
    <x v="2"/>
    <x v="6"/>
    <n v="2025"/>
    <x v="1"/>
    <s v="Open"/>
  </r>
  <r>
    <s v="TCK-1402"/>
    <d v="2025-10-19T00:00:00"/>
    <m/>
    <x v="2"/>
    <s v="In Progress"/>
    <x v="6"/>
    <x v="1"/>
    <s v="Agent P"/>
    <s v="Davao"/>
    <s v="Chat"/>
    <s v="Medium"/>
    <s v="Low"/>
    <s v=""/>
    <n v="1"/>
    <x v="2"/>
    <x v="4"/>
    <n v="2025"/>
    <x v="1"/>
    <s v="Open"/>
  </r>
  <r>
    <s v="TCK-1403"/>
    <d v="2025-04-30T00:00:00"/>
    <d v="2025-04-30T00:00:00"/>
    <x v="2"/>
    <s v="Resolved"/>
    <x v="6"/>
    <x v="1"/>
    <s v="Agent M"/>
    <s v="Makati"/>
    <s v="Chat"/>
    <s v="Low"/>
    <s v="Medium"/>
    <n v="0"/>
    <n v="1"/>
    <x v="0"/>
    <x v="7"/>
    <n v="2025"/>
    <x v="0"/>
    <s v="Apr"/>
  </r>
  <r>
    <s v="TCK-1404"/>
    <d v="2025-06-12T00:00:00"/>
    <d v="2025-06-14T00:00:00"/>
    <x v="1"/>
    <s v="Closed"/>
    <x v="4"/>
    <x v="4"/>
    <s v="Agent H"/>
    <s v="Davao"/>
    <s v="Chat"/>
    <s v="Low"/>
    <s v="Medium"/>
    <n v="2"/>
    <n v="3"/>
    <x v="0"/>
    <x v="6"/>
    <n v="2025"/>
    <x v="0"/>
    <s v="Jun"/>
  </r>
  <r>
    <s v="TCK-1405"/>
    <d v="2025-11-19T00:00:00"/>
    <m/>
    <x v="2"/>
    <s v="Open"/>
    <x v="3"/>
    <x v="2"/>
    <s v="Agent G"/>
    <s v="Cebu"/>
    <s v="Chat"/>
    <s v="Medium"/>
    <s v="High"/>
    <s v=""/>
    <n v="1"/>
    <x v="2"/>
    <x v="1"/>
    <n v="2025"/>
    <x v="1"/>
    <s v="Open"/>
  </r>
  <r>
    <s v="TCK-1406"/>
    <d v="2025-05-06T00:00:00"/>
    <d v="2025-05-07T00:00:00"/>
    <x v="1"/>
    <s v="Resolved"/>
    <x v="5"/>
    <x v="3"/>
    <s v="Agent T"/>
    <s v="Iloilo"/>
    <s v="Chat"/>
    <s v="High"/>
    <s v="Medium"/>
    <n v="1"/>
    <n v="3"/>
    <x v="0"/>
    <x v="9"/>
    <n v="2025"/>
    <x v="0"/>
    <s v="May"/>
  </r>
  <r>
    <s v="TCK-1407"/>
    <d v="2025-02-12T00:00:00"/>
    <d v="2025-02-13T00:00:00"/>
    <x v="1"/>
    <s v="Closed"/>
    <x v="5"/>
    <x v="1"/>
    <s v="Agent P"/>
    <s v="Manila"/>
    <s v="Email"/>
    <s v="Low"/>
    <s v="Low"/>
    <n v="1"/>
    <n v="3"/>
    <x v="0"/>
    <x v="5"/>
    <n v="2025"/>
    <x v="0"/>
    <s v="Feb"/>
  </r>
  <r>
    <s v="TCK-1408"/>
    <d v="2025-09-09T00:00:00"/>
    <d v="2025-09-11T00:00:00"/>
    <x v="3"/>
    <s v="Resolved"/>
    <x v="0"/>
    <x v="0"/>
    <s v="Agent N"/>
    <s v="Davao"/>
    <s v="Chat"/>
    <s v="Low"/>
    <s v="Low"/>
    <n v="2"/>
    <n v="5"/>
    <x v="0"/>
    <x v="10"/>
    <n v="2025"/>
    <x v="0"/>
    <s v="Sep"/>
  </r>
  <r>
    <s v="TCK-1409"/>
    <d v="2025-01-30T00:00:00"/>
    <d v="2025-01-31T00:00:00"/>
    <x v="1"/>
    <s v="Closed"/>
    <x v="4"/>
    <x v="2"/>
    <s v="Agent T"/>
    <s v="Manila"/>
    <s v="Email"/>
    <s v="High"/>
    <s v="Low"/>
    <n v="1"/>
    <n v="3"/>
    <x v="0"/>
    <x v="0"/>
    <n v="2025"/>
    <x v="0"/>
    <s v="Jan"/>
  </r>
  <r>
    <s v="TCK-1410"/>
    <d v="2025-07-16T00:00:00"/>
    <d v="2025-07-17T00:00:00"/>
    <x v="2"/>
    <s v="Resolved"/>
    <x v="2"/>
    <x v="0"/>
    <s v="Agent N"/>
    <s v="Manila"/>
    <s v="Portal"/>
    <s v="High"/>
    <s v="Medium"/>
    <n v="1"/>
    <n v="1"/>
    <x v="0"/>
    <x v="2"/>
    <n v="2025"/>
    <x v="0"/>
    <s v="Jul"/>
  </r>
  <r>
    <s v="TCK-1411"/>
    <d v="2025-07-23T00:00:00"/>
    <d v="2025-07-23T00:00:00"/>
    <x v="1"/>
    <s v="Closed"/>
    <x v="6"/>
    <x v="1"/>
    <s v="Agent E"/>
    <s v="Davao"/>
    <s v="Email"/>
    <s v="Medium"/>
    <s v="Low"/>
    <n v="0"/>
    <n v="3"/>
    <x v="0"/>
    <x v="2"/>
    <n v="2025"/>
    <x v="0"/>
    <s v="Jul"/>
  </r>
  <r>
    <s v="TCK-1412"/>
    <d v="2025-04-06T00:00:00"/>
    <m/>
    <x v="2"/>
    <s v="In Progress"/>
    <x v="3"/>
    <x v="0"/>
    <s v="Agent F"/>
    <s v="Cebu"/>
    <s v="Email"/>
    <s v="Medium"/>
    <s v="High"/>
    <s v=""/>
    <n v="1"/>
    <x v="2"/>
    <x v="7"/>
    <n v="2025"/>
    <x v="1"/>
    <s v="Open"/>
  </r>
  <r>
    <s v="TCK-1413"/>
    <d v="2025-10-27T00:00:00"/>
    <m/>
    <x v="0"/>
    <s v="In Progress"/>
    <x v="4"/>
    <x v="4"/>
    <s v="Agent Q"/>
    <s v="Davao"/>
    <s v="Portal"/>
    <s v="Medium"/>
    <s v="Medium"/>
    <s v=""/>
    <n v="7"/>
    <x v="2"/>
    <x v="4"/>
    <n v="2025"/>
    <x v="1"/>
    <s v="Open"/>
  </r>
  <r>
    <s v="TCK-1414"/>
    <d v="2025-11-06T00:00:00"/>
    <d v="2025-11-11T00:00:00"/>
    <x v="0"/>
    <s v="Resolved"/>
    <x v="1"/>
    <x v="1"/>
    <s v="Agent A"/>
    <s v="Clark"/>
    <s v="Phone"/>
    <s v="High"/>
    <s v="Low"/>
    <n v="5"/>
    <n v="7"/>
    <x v="0"/>
    <x v="1"/>
    <n v="2025"/>
    <x v="0"/>
    <s v="Nov"/>
  </r>
  <r>
    <s v="TCK-1415"/>
    <d v="2025-09-29T00:00:00"/>
    <d v="2025-09-30T00:00:00"/>
    <x v="2"/>
    <s v="Resolved"/>
    <x v="6"/>
    <x v="1"/>
    <s v="Unassigned"/>
    <s v="Iloilo"/>
    <s v="Portal"/>
    <s v="Low"/>
    <s v="Medium"/>
    <n v="1"/>
    <n v="1"/>
    <x v="0"/>
    <x v="10"/>
    <n v="2025"/>
    <x v="0"/>
    <s v="Sep"/>
  </r>
  <r>
    <s v="TCK-1416"/>
    <d v="2025-09-06T00:00:00"/>
    <d v="2025-09-14T00:00:00"/>
    <x v="0"/>
    <s v="Resolved"/>
    <x v="0"/>
    <x v="0"/>
    <s v="Agent Q"/>
    <s v="Iloilo"/>
    <s v="Email"/>
    <s v="Medium"/>
    <s v="Low"/>
    <n v="8"/>
    <n v="7"/>
    <x v="1"/>
    <x v="10"/>
    <n v="2025"/>
    <x v="0"/>
    <s v="Sep"/>
  </r>
  <r>
    <s v="TCK-1417"/>
    <d v="2025-08-28T00:00:00"/>
    <m/>
    <x v="3"/>
    <s v="In Progress"/>
    <x v="3"/>
    <x v="4"/>
    <s v="Agent A"/>
    <s v="Cebu"/>
    <s v="Portal"/>
    <s v="High"/>
    <s v="Low"/>
    <s v=""/>
    <n v="5"/>
    <x v="2"/>
    <x v="3"/>
    <n v="2025"/>
    <x v="1"/>
    <s v="Open"/>
  </r>
  <r>
    <s v="TCK-1418"/>
    <d v="2025-09-01T00:00:00"/>
    <d v="2025-09-04T00:00:00"/>
    <x v="0"/>
    <s v="Closed"/>
    <x v="1"/>
    <x v="1"/>
    <s v="Agent M"/>
    <s v="Iloilo"/>
    <s v="Phone"/>
    <s v="High"/>
    <s v="Medium"/>
    <n v="3"/>
    <n v="7"/>
    <x v="0"/>
    <x v="10"/>
    <n v="2025"/>
    <x v="0"/>
    <s v="Sep"/>
  </r>
  <r>
    <s v="TCK-1419"/>
    <d v="2025-02-14T00:00:00"/>
    <m/>
    <x v="1"/>
    <s v="Open"/>
    <x v="3"/>
    <x v="3"/>
    <s v="Agent A"/>
    <s v="Iloilo"/>
    <s v="Chat"/>
    <s v="Medium"/>
    <s v="Medium"/>
    <s v=""/>
    <n v="3"/>
    <x v="2"/>
    <x v="5"/>
    <n v="2025"/>
    <x v="1"/>
    <s v="Open"/>
  </r>
  <r>
    <s v="TCK-1420"/>
    <d v="2025-12-14T00:00:00"/>
    <d v="2025-12-15T00:00:00"/>
    <x v="2"/>
    <s v="Closed"/>
    <x v="5"/>
    <x v="3"/>
    <s v="Agent J"/>
    <s v="Davao"/>
    <s v="Portal"/>
    <s v="Medium"/>
    <s v="Low"/>
    <n v="1"/>
    <n v="1"/>
    <x v="0"/>
    <x v="8"/>
    <n v="2025"/>
    <x v="0"/>
    <s v="Dec"/>
  </r>
  <r>
    <s v="TCK-1421"/>
    <d v="2025-03-05T00:00:00"/>
    <d v="2025-03-05T00:00:00"/>
    <x v="1"/>
    <s v="Resolved"/>
    <x v="4"/>
    <x v="2"/>
    <s v="Agent B"/>
    <s v="Iloilo"/>
    <s v="Chat"/>
    <s v="Low"/>
    <s v="Medium"/>
    <n v="0"/>
    <n v="3"/>
    <x v="0"/>
    <x v="11"/>
    <n v="2025"/>
    <x v="0"/>
    <s v="Mar"/>
  </r>
  <r>
    <s v="TCK-1422"/>
    <d v="2025-12-04T00:00:00"/>
    <d v="2025-12-06T00:00:00"/>
    <x v="1"/>
    <s v="Closed"/>
    <x v="1"/>
    <x v="2"/>
    <s v="Agent R"/>
    <s v="BGC"/>
    <s v="Email"/>
    <s v="Low"/>
    <s v="Medium"/>
    <n v="2"/>
    <n v="3"/>
    <x v="0"/>
    <x v="8"/>
    <n v="2025"/>
    <x v="0"/>
    <s v="Dec"/>
  </r>
  <r>
    <s v="TCK-1423"/>
    <d v="2025-03-25T00:00:00"/>
    <d v="2025-03-28T00:00:00"/>
    <x v="1"/>
    <s v="Resolved"/>
    <x v="3"/>
    <x v="2"/>
    <s v="Agent N"/>
    <s v="Manila"/>
    <s v="Email"/>
    <s v="Medium"/>
    <s v="Medium"/>
    <n v="3"/>
    <n v="3"/>
    <x v="0"/>
    <x v="11"/>
    <n v="2025"/>
    <x v="0"/>
    <s v="Mar"/>
  </r>
  <r>
    <s v="TCK-1424"/>
    <d v="2025-01-27T00:00:00"/>
    <m/>
    <x v="1"/>
    <s v="Open"/>
    <x v="6"/>
    <x v="2"/>
    <s v="Agent J"/>
    <s v="Clark"/>
    <s v="Chat"/>
    <s v="Low"/>
    <s v="Low"/>
    <s v=""/>
    <n v="3"/>
    <x v="2"/>
    <x v="0"/>
    <n v="2025"/>
    <x v="1"/>
    <s v="Open"/>
  </r>
  <r>
    <s v="TCK-1425"/>
    <d v="2025-08-26T00:00:00"/>
    <d v="2025-08-27T00:00:00"/>
    <x v="2"/>
    <s v="Closed"/>
    <x v="0"/>
    <x v="0"/>
    <s v="Agent S"/>
    <s v="Iloilo"/>
    <s v="Phone"/>
    <s v="Medium"/>
    <s v="Medium"/>
    <n v="1"/>
    <n v="1"/>
    <x v="0"/>
    <x v="3"/>
    <n v="2025"/>
    <x v="0"/>
    <s v="Aug"/>
  </r>
  <r>
    <s v="TCK-1426"/>
    <d v="2025-12-26T00:00:00"/>
    <d v="2025-12-26T00:00:00"/>
    <x v="2"/>
    <s v="Resolved"/>
    <x v="7"/>
    <x v="0"/>
    <s v="Agent Q"/>
    <s v="Iloilo"/>
    <s v="Phone"/>
    <s v="Low"/>
    <s v="High"/>
    <n v="0"/>
    <n v="1"/>
    <x v="0"/>
    <x v="8"/>
    <n v="2025"/>
    <x v="0"/>
    <s v="Dec"/>
  </r>
  <r>
    <s v="TCK-1427"/>
    <d v="2025-11-03T00:00:00"/>
    <d v="2025-11-03T00:00:00"/>
    <x v="1"/>
    <s v="Closed"/>
    <x v="3"/>
    <x v="4"/>
    <s v="Agent Q"/>
    <s v="Cebu"/>
    <s v="Email"/>
    <s v="High"/>
    <s v="Medium"/>
    <n v="0"/>
    <n v="3"/>
    <x v="0"/>
    <x v="1"/>
    <n v="2025"/>
    <x v="0"/>
    <s v="Nov"/>
  </r>
  <r>
    <s v="TCK-1428"/>
    <d v="2025-09-23T00:00:00"/>
    <d v="2025-09-25T00:00:00"/>
    <x v="1"/>
    <s v="Closed"/>
    <x v="1"/>
    <x v="4"/>
    <s v="Agent G"/>
    <s v="Makati"/>
    <s v="Phone"/>
    <s v="Low"/>
    <s v="Medium"/>
    <n v="2"/>
    <n v="3"/>
    <x v="0"/>
    <x v="10"/>
    <n v="2025"/>
    <x v="0"/>
    <s v="Sep"/>
  </r>
  <r>
    <s v="TCK-1429"/>
    <d v="2025-11-15T00:00:00"/>
    <d v="2025-11-17T00:00:00"/>
    <x v="1"/>
    <s v="Resolved"/>
    <x v="2"/>
    <x v="1"/>
    <s v="Agent G"/>
    <s v="Cebu"/>
    <s v="Phone"/>
    <s v="Medium"/>
    <s v="Medium"/>
    <n v="2"/>
    <n v="3"/>
    <x v="0"/>
    <x v="1"/>
    <n v="2025"/>
    <x v="0"/>
    <s v="Nov"/>
  </r>
  <r>
    <s v="TCK-1430"/>
    <d v="2025-11-06T00:00:00"/>
    <m/>
    <x v="2"/>
    <s v="In Progress"/>
    <x v="6"/>
    <x v="1"/>
    <s v="Agent H"/>
    <s v="Cebu"/>
    <s v="Phone"/>
    <s v="Medium"/>
    <s v="High"/>
    <s v=""/>
    <n v="1"/>
    <x v="2"/>
    <x v="1"/>
    <n v="2025"/>
    <x v="1"/>
    <s v="Open"/>
  </r>
  <r>
    <s v="TCK-1431"/>
    <d v="2025-03-05T00:00:00"/>
    <m/>
    <x v="0"/>
    <s v="In Progress"/>
    <x v="5"/>
    <x v="1"/>
    <s v="Agent B"/>
    <s v="Makati"/>
    <s v="Portal"/>
    <s v="Low"/>
    <s v="Low"/>
    <s v=""/>
    <n v="7"/>
    <x v="2"/>
    <x v="11"/>
    <n v="2025"/>
    <x v="1"/>
    <s v="Open"/>
  </r>
  <r>
    <s v="TCK-1432"/>
    <d v="2025-09-30T00:00:00"/>
    <d v="2025-10-10T00:00:00"/>
    <x v="0"/>
    <s v="Resolved"/>
    <x v="7"/>
    <x v="1"/>
    <s v="Agent H"/>
    <s v="Clark"/>
    <s v="Chat"/>
    <s v="High"/>
    <s v="Medium"/>
    <n v="10"/>
    <n v="7"/>
    <x v="1"/>
    <x v="10"/>
    <n v="2025"/>
    <x v="0"/>
    <s v="Oct"/>
  </r>
  <r>
    <s v="TCK-1433"/>
    <d v="2025-08-28T00:00:00"/>
    <d v="2025-08-30T00:00:00"/>
    <x v="1"/>
    <s v="Resolved"/>
    <x v="3"/>
    <x v="1"/>
    <s v="Agent C"/>
    <s v="Manila"/>
    <s v="Phone"/>
    <s v="Low"/>
    <s v="High"/>
    <n v="2"/>
    <n v="3"/>
    <x v="0"/>
    <x v="3"/>
    <n v="2025"/>
    <x v="0"/>
    <s v="Aug"/>
  </r>
  <r>
    <s v="TCK-1434"/>
    <d v="2025-05-27T00:00:00"/>
    <d v="2025-05-28T00:00:00"/>
    <x v="2"/>
    <s v="Resolved"/>
    <x v="7"/>
    <x v="4"/>
    <s v="Agent T"/>
    <s v="Clark"/>
    <s v="Chat"/>
    <s v="Low"/>
    <s v="Low"/>
    <n v="1"/>
    <n v="1"/>
    <x v="0"/>
    <x v="9"/>
    <n v="2025"/>
    <x v="0"/>
    <s v="May"/>
  </r>
  <r>
    <s v="TCK-1435"/>
    <d v="2025-05-06T00:00:00"/>
    <d v="2025-05-07T00:00:00"/>
    <x v="2"/>
    <s v="Closed"/>
    <x v="3"/>
    <x v="4"/>
    <s v="Agent M"/>
    <s v="BGC"/>
    <s v="Phone"/>
    <s v="Low"/>
    <s v="High"/>
    <n v="1"/>
    <n v="1"/>
    <x v="0"/>
    <x v="9"/>
    <n v="2025"/>
    <x v="0"/>
    <s v="May"/>
  </r>
  <r>
    <s v="TCK-1436"/>
    <d v="2025-09-05T00:00:00"/>
    <d v="2025-09-05T00:00:00"/>
    <x v="2"/>
    <s v="Resolved"/>
    <x v="4"/>
    <x v="4"/>
    <s v="Agent K"/>
    <s v="Manila"/>
    <s v="Portal"/>
    <s v="Low"/>
    <s v="High"/>
    <n v="0"/>
    <n v="1"/>
    <x v="0"/>
    <x v="10"/>
    <n v="2025"/>
    <x v="0"/>
    <s v="Sep"/>
  </r>
  <r>
    <s v="TCK-1437"/>
    <d v="2025-01-05T00:00:00"/>
    <m/>
    <x v="3"/>
    <s v="Open"/>
    <x v="7"/>
    <x v="1"/>
    <s v="Agent M"/>
    <s v="Cebu"/>
    <s v="Phone"/>
    <s v="Low"/>
    <s v="Medium"/>
    <s v=""/>
    <n v="5"/>
    <x v="2"/>
    <x v="0"/>
    <n v="2025"/>
    <x v="1"/>
    <s v="Open"/>
  </r>
  <r>
    <s v="TCK-1438"/>
    <d v="2025-08-13T00:00:00"/>
    <d v="2025-08-14T00:00:00"/>
    <x v="0"/>
    <s v="Closed"/>
    <x v="3"/>
    <x v="1"/>
    <s v="Agent F"/>
    <s v="Clark"/>
    <s v="Portal"/>
    <s v="High"/>
    <s v="Medium"/>
    <n v="1"/>
    <n v="7"/>
    <x v="0"/>
    <x v="3"/>
    <n v="2025"/>
    <x v="0"/>
    <s v="Aug"/>
  </r>
  <r>
    <s v="TCK-1439"/>
    <d v="2025-09-11T00:00:00"/>
    <d v="2025-09-12T00:00:00"/>
    <x v="3"/>
    <s v="Closed"/>
    <x v="6"/>
    <x v="1"/>
    <s v="Agent H"/>
    <s v="Cebu"/>
    <s v="Email"/>
    <s v="Medium"/>
    <s v="Medium"/>
    <n v="1"/>
    <n v="5"/>
    <x v="0"/>
    <x v="10"/>
    <n v="2025"/>
    <x v="0"/>
    <s v="Sep"/>
  </r>
  <r>
    <s v="TCK-1440"/>
    <d v="2025-09-06T00:00:00"/>
    <m/>
    <x v="2"/>
    <s v="Open"/>
    <x v="7"/>
    <x v="2"/>
    <s v="Agent N"/>
    <s v="Clark"/>
    <s v="Phone"/>
    <s v="High"/>
    <s v="Low"/>
    <s v=""/>
    <n v="1"/>
    <x v="2"/>
    <x v="10"/>
    <n v="2025"/>
    <x v="1"/>
    <s v="Open"/>
  </r>
  <r>
    <s v="TCK-1441"/>
    <d v="2025-03-18T00:00:00"/>
    <m/>
    <x v="1"/>
    <s v="In Progress"/>
    <x v="3"/>
    <x v="4"/>
    <s v="Agent Q"/>
    <s v="Makati"/>
    <s v="Portal"/>
    <s v="Medium"/>
    <s v="Medium"/>
    <s v=""/>
    <n v="3"/>
    <x v="2"/>
    <x v="11"/>
    <n v="2025"/>
    <x v="1"/>
    <s v="Open"/>
  </r>
  <r>
    <s v="TCK-1442"/>
    <d v="2025-08-07T00:00:00"/>
    <d v="2025-08-08T00:00:00"/>
    <x v="2"/>
    <s v="Closed"/>
    <x v="3"/>
    <x v="1"/>
    <s v="Agent P"/>
    <s v="Cebu"/>
    <s v="Phone"/>
    <s v="Medium"/>
    <s v="Medium"/>
    <n v="1"/>
    <n v="1"/>
    <x v="0"/>
    <x v="3"/>
    <n v="2025"/>
    <x v="0"/>
    <s v="Aug"/>
  </r>
  <r>
    <s v="TCK-1443"/>
    <d v="2025-06-05T00:00:00"/>
    <m/>
    <x v="1"/>
    <s v="Open"/>
    <x v="7"/>
    <x v="0"/>
    <s v="Agent H"/>
    <s v="Davao"/>
    <s v="Chat"/>
    <s v="High"/>
    <s v="High"/>
    <s v=""/>
    <n v="3"/>
    <x v="2"/>
    <x v="6"/>
    <n v="2025"/>
    <x v="1"/>
    <s v="Open"/>
  </r>
  <r>
    <s v="TCK-1444"/>
    <d v="2025-11-05T00:00:00"/>
    <m/>
    <x v="1"/>
    <s v="In Progress"/>
    <x v="3"/>
    <x v="0"/>
    <s v="Agent P"/>
    <s v="Davao"/>
    <s v="Phone"/>
    <s v="High"/>
    <s v="High"/>
    <s v=""/>
    <n v="3"/>
    <x v="2"/>
    <x v="1"/>
    <n v="2025"/>
    <x v="1"/>
    <s v="Open"/>
  </r>
  <r>
    <s v="TCK-1445"/>
    <d v="2025-10-09T00:00:00"/>
    <d v="2025-10-09T00:00:00"/>
    <x v="2"/>
    <s v="Closed"/>
    <x v="0"/>
    <x v="2"/>
    <s v="Agent E"/>
    <s v="Iloilo"/>
    <s v="Phone"/>
    <s v="Low"/>
    <s v="Medium"/>
    <n v="0"/>
    <n v="1"/>
    <x v="0"/>
    <x v="4"/>
    <n v="2025"/>
    <x v="0"/>
    <s v="Oct"/>
  </r>
  <r>
    <s v="TCK-1446"/>
    <d v="2025-09-30T00:00:00"/>
    <d v="2025-10-05T00:00:00"/>
    <x v="3"/>
    <s v="Closed"/>
    <x v="6"/>
    <x v="0"/>
    <s v="Agent Q"/>
    <s v="BGC"/>
    <s v="Phone"/>
    <s v="Medium"/>
    <s v="Low"/>
    <n v="5"/>
    <n v="5"/>
    <x v="0"/>
    <x v="10"/>
    <n v="2025"/>
    <x v="0"/>
    <s v="Oct"/>
  </r>
  <r>
    <s v="TCK-1447"/>
    <d v="2025-03-02T00:00:00"/>
    <m/>
    <x v="1"/>
    <s v="In Progress"/>
    <x v="4"/>
    <x v="4"/>
    <s v="Agent H"/>
    <s v="Davao"/>
    <s v="Email"/>
    <s v="High"/>
    <s v="Low"/>
    <s v=""/>
    <n v="3"/>
    <x v="2"/>
    <x v="11"/>
    <n v="2025"/>
    <x v="1"/>
    <s v="Open"/>
  </r>
  <r>
    <s v="TCK-1448"/>
    <d v="2025-11-06T00:00:00"/>
    <d v="2025-11-10T00:00:00"/>
    <x v="3"/>
    <s v="Closed"/>
    <x v="6"/>
    <x v="4"/>
    <s v="Agent H"/>
    <s v="Makati"/>
    <s v="Portal"/>
    <s v="High"/>
    <s v="Low"/>
    <n v="4"/>
    <n v="5"/>
    <x v="0"/>
    <x v="1"/>
    <n v="2025"/>
    <x v="0"/>
    <s v="Nov"/>
  </r>
  <r>
    <s v="TCK-1449"/>
    <d v="2025-10-26T00:00:00"/>
    <m/>
    <x v="0"/>
    <s v="Open"/>
    <x v="2"/>
    <x v="2"/>
    <s v="Agent G"/>
    <s v="Makati"/>
    <s v="Chat"/>
    <s v="High"/>
    <s v="Low"/>
    <s v=""/>
    <n v="7"/>
    <x v="2"/>
    <x v="4"/>
    <n v="2025"/>
    <x v="1"/>
    <s v="Open"/>
  </r>
  <r>
    <s v="TCK-1450"/>
    <d v="2025-07-08T00:00:00"/>
    <m/>
    <x v="1"/>
    <s v="In Progress"/>
    <x v="5"/>
    <x v="2"/>
    <s v="Agent A"/>
    <s v="Iloilo"/>
    <s v="Chat"/>
    <s v="Low"/>
    <s v="Low"/>
    <s v=""/>
    <n v="3"/>
    <x v="2"/>
    <x v="2"/>
    <n v="2025"/>
    <x v="1"/>
    <s v="Open"/>
  </r>
  <r>
    <s v="TCK-1451"/>
    <d v="2025-03-15T00:00:00"/>
    <m/>
    <x v="2"/>
    <s v="Open"/>
    <x v="6"/>
    <x v="0"/>
    <s v="Agent M"/>
    <s v="Iloilo"/>
    <s v="Email"/>
    <s v="High"/>
    <s v="High"/>
    <s v=""/>
    <n v="1"/>
    <x v="2"/>
    <x v="11"/>
    <n v="2025"/>
    <x v="1"/>
    <s v="Open"/>
  </r>
  <r>
    <s v="TCK-1452"/>
    <d v="2025-05-18T00:00:00"/>
    <m/>
    <x v="0"/>
    <s v="In Progress"/>
    <x v="4"/>
    <x v="4"/>
    <s v="Agent P"/>
    <s v="Iloilo"/>
    <s v="Phone"/>
    <s v="Medium"/>
    <s v="Medium"/>
    <s v=""/>
    <n v="7"/>
    <x v="2"/>
    <x v="9"/>
    <n v="2025"/>
    <x v="1"/>
    <s v="Open"/>
  </r>
  <r>
    <s v="TCK-1453"/>
    <d v="2025-05-05T00:00:00"/>
    <m/>
    <x v="0"/>
    <s v="Open"/>
    <x v="0"/>
    <x v="3"/>
    <s v="Agent H"/>
    <s v="Cebu"/>
    <s v="Phone"/>
    <s v="Medium"/>
    <s v="Low"/>
    <s v=""/>
    <n v="7"/>
    <x v="2"/>
    <x v="9"/>
    <n v="2025"/>
    <x v="1"/>
    <s v="Open"/>
  </r>
  <r>
    <s v="TCK-1454"/>
    <d v="2025-12-17T00:00:00"/>
    <d v="2025-12-22T00:00:00"/>
    <x v="0"/>
    <s v="Resolved"/>
    <x v="2"/>
    <x v="4"/>
    <s v="Agent T"/>
    <s v="Davao"/>
    <s v="Portal"/>
    <s v="Low"/>
    <s v="High"/>
    <n v="5"/>
    <n v="7"/>
    <x v="0"/>
    <x v="8"/>
    <n v="2025"/>
    <x v="0"/>
    <s v="Dec"/>
  </r>
  <r>
    <s v="TCK-1455"/>
    <d v="2025-03-18T00:00:00"/>
    <d v="2025-03-20T00:00:00"/>
    <x v="1"/>
    <s v="Closed"/>
    <x v="5"/>
    <x v="4"/>
    <s v="Agent E"/>
    <s v="BGC"/>
    <s v="Phone"/>
    <s v="Medium"/>
    <s v="Medium"/>
    <n v="2"/>
    <n v="3"/>
    <x v="0"/>
    <x v="11"/>
    <n v="2025"/>
    <x v="0"/>
    <s v="Mar"/>
  </r>
  <r>
    <s v="TCK-1456"/>
    <d v="2025-09-02T00:00:00"/>
    <d v="2025-09-03T00:00:00"/>
    <x v="1"/>
    <s v="Closed"/>
    <x v="7"/>
    <x v="3"/>
    <s v="Agent K"/>
    <s v="Cebu"/>
    <s v="Chat"/>
    <s v="Low"/>
    <s v="Medium"/>
    <n v="1"/>
    <n v="3"/>
    <x v="0"/>
    <x v="10"/>
    <n v="2025"/>
    <x v="0"/>
    <s v="Sep"/>
  </r>
  <r>
    <s v="TCK-1457"/>
    <d v="2025-09-10T00:00:00"/>
    <d v="2025-09-11T00:00:00"/>
    <x v="2"/>
    <s v="Resolved"/>
    <x v="3"/>
    <x v="4"/>
    <s v="Agent P"/>
    <s v="Manila"/>
    <s v="Portal"/>
    <s v="Medium"/>
    <s v="High"/>
    <n v="1"/>
    <n v="1"/>
    <x v="0"/>
    <x v="10"/>
    <n v="2025"/>
    <x v="0"/>
    <s v="Sep"/>
  </r>
  <r>
    <s v="TCK-1458"/>
    <d v="2025-03-15T00:00:00"/>
    <d v="2025-03-18T00:00:00"/>
    <x v="1"/>
    <s v="Closed"/>
    <x v="7"/>
    <x v="4"/>
    <s v="Agent C"/>
    <s v="Manila"/>
    <s v="Phone"/>
    <s v="Medium"/>
    <s v="High"/>
    <n v="3"/>
    <n v="3"/>
    <x v="0"/>
    <x v="11"/>
    <n v="2025"/>
    <x v="0"/>
    <s v="Mar"/>
  </r>
  <r>
    <s v="TCK-1459"/>
    <d v="2025-02-09T00:00:00"/>
    <m/>
    <x v="2"/>
    <s v="Open"/>
    <x v="7"/>
    <x v="3"/>
    <s v="Agent K"/>
    <s v="BGC"/>
    <s v="Email"/>
    <s v="High"/>
    <s v="High"/>
    <s v=""/>
    <n v="1"/>
    <x v="2"/>
    <x v="5"/>
    <n v="2025"/>
    <x v="1"/>
    <s v="Open"/>
  </r>
  <r>
    <s v="TCK-1460"/>
    <d v="2025-01-17T00:00:00"/>
    <d v="2025-01-18T00:00:00"/>
    <x v="2"/>
    <s v="Closed"/>
    <x v="5"/>
    <x v="2"/>
    <s v="Agent F"/>
    <s v="Davao"/>
    <s v="Chat"/>
    <s v="High"/>
    <s v="Low"/>
    <n v="1"/>
    <n v="1"/>
    <x v="0"/>
    <x v="0"/>
    <n v="2025"/>
    <x v="0"/>
    <s v="Jan"/>
  </r>
  <r>
    <s v="TCK-1461"/>
    <d v="2025-11-13T00:00:00"/>
    <m/>
    <x v="1"/>
    <s v="Open"/>
    <x v="0"/>
    <x v="3"/>
    <s v="Agent L"/>
    <s v="BGC"/>
    <s v="Email"/>
    <s v="High"/>
    <s v="High"/>
    <s v=""/>
    <n v="3"/>
    <x v="2"/>
    <x v="1"/>
    <n v="2025"/>
    <x v="1"/>
    <s v="Open"/>
  </r>
  <r>
    <s v="TCK-1462"/>
    <d v="2025-06-21T00:00:00"/>
    <m/>
    <x v="2"/>
    <s v="Open"/>
    <x v="0"/>
    <x v="2"/>
    <s v="Agent B"/>
    <s v="Davao"/>
    <s v="Email"/>
    <s v="Low"/>
    <s v="Medium"/>
    <s v=""/>
    <n v="1"/>
    <x v="2"/>
    <x v="6"/>
    <n v="2025"/>
    <x v="1"/>
    <s v="Open"/>
  </r>
  <r>
    <s v="TCK-1463"/>
    <d v="2025-06-11T00:00:00"/>
    <m/>
    <x v="2"/>
    <s v="Open"/>
    <x v="2"/>
    <x v="1"/>
    <s v="Agent D"/>
    <s v="Davao"/>
    <s v="Phone"/>
    <s v="High"/>
    <s v="Low"/>
    <s v=""/>
    <n v="1"/>
    <x v="2"/>
    <x v="6"/>
    <n v="2025"/>
    <x v="1"/>
    <s v="Open"/>
  </r>
  <r>
    <s v="TCK-1464"/>
    <d v="2025-09-02T00:00:00"/>
    <d v="2025-09-05T00:00:00"/>
    <x v="3"/>
    <s v="Resolved"/>
    <x v="0"/>
    <x v="2"/>
    <s v="Agent F"/>
    <s v="Cebu"/>
    <s v="Phone"/>
    <s v="Medium"/>
    <s v="Medium"/>
    <n v="3"/>
    <n v="5"/>
    <x v="0"/>
    <x v="10"/>
    <n v="2025"/>
    <x v="0"/>
    <s v="Sep"/>
  </r>
  <r>
    <s v="TCK-1465"/>
    <d v="2025-08-09T00:00:00"/>
    <m/>
    <x v="3"/>
    <s v="Open"/>
    <x v="3"/>
    <x v="3"/>
    <s v="Agent A"/>
    <s v="Davao"/>
    <s v="Email"/>
    <s v="Medium"/>
    <s v="High"/>
    <s v=""/>
    <n v="5"/>
    <x v="2"/>
    <x v="3"/>
    <n v="2025"/>
    <x v="1"/>
    <s v="Open"/>
  </r>
  <r>
    <s v="TCK-1466"/>
    <d v="2025-03-28T00:00:00"/>
    <d v="2025-03-30T00:00:00"/>
    <x v="3"/>
    <s v="Closed"/>
    <x v="5"/>
    <x v="2"/>
    <s v="Agent S"/>
    <s v="Iloilo"/>
    <s v="Portal"/>
    <s v="Medium"/>
    <s v="Medium"/>
    <n v="2"/>
    <n v="5"/>
    <x v="0"/>
    <x v="11"/>
    <n v="2025"/>
    <x v="0"/>
    <s v="Mar"/>
  </r>
  <r>
    <s v="TCK-1467"/>
    <d v="2025-12-15T00:00:00"/>
    <m/>
    <x v="1"/>
    <s v="In Progress"/>
    <x v="1"/>
    <x v="4"/>
    <s v="Agent B"/>
    <s v="Clark"/>
    <s v="Email"/>
    <s v="High"/>
    <s v="High"/>
    <s v=""/>
    <n v="3"/>
    <x v="2"/>
    <x v="8"/>
    <n v="2025"/>
    <x v="1"/>
    <s v="Open"/>
  </r>
  <r>
    <s v="TCK-1468"/>
    <d v="2025-03-23T00:00:00"/>
    <d v="2025-03-26T00:00:00"/>
    <x v="1"/>
    <s v="Resolved"/>
    <x v="5"/>
    <x v="4"/>
    <s v="Agent M"/>
    <s v="Cebu"/>
    <s v="Portal"/>
    <s v="High"/>
    <s v="Medium"/>
    <n v="3"/>
    <n v="3"/>
    <x v="0"/>
    <x v="11"/>
    <n v="2025"/>
    <x v="0"/>
    <s v="Mar"/>
  </r>
  <r>
    <s v="TCK-1469"/>
    <d v="2025-11-06T00:00:00"/>
    <d v="2025-11-11T00:00:00"/>
    <x v="0"/>
    <s v="Resolved"/>
    <x v="7"/>
    <x v="3"/>
    <s v="Agent L"/>
    <s v="Makati"/>
    <s v="Email"/>
    <s v="High"/>
    <s v="High"/>
    <n v="5"/>
    <n v="7"/>
    <x v="0"/>
    <x v="1"/>
    <n v="2025"/>
    <x v="0"/>
    <s v="Nov"/>
  </r>
  <r>
    <s v="TCK-1470"/>
    <d v="2025-12-17T00:00:00"/>
    <d v="2025-12-24T00:00:00"/>
    <x v="0"/>
    <s v="Resolved"/>
    <x v="2"/>
    <x v="1"/>
    <s v="Agent B"/>
    <s v="BGC"/>
    <s v="Portal"/>
    <s v="High"/>
    <s v="High"/>
    <n v="7"/>
    <n v="7"/>
    <x v="0"/>
    <x v="8"/>
    <n v="2025"/>
    <x v="0"/>
    <s v="Dec"/>
  </r>
  <r>
    <s v="TCK-1471"/>
    <d v="2025-08-03T00:00:00"/>
    <d v="2025-08-06T00:00:00"/>
    <x v="3"/>
    <s v="Resolved"/>
    <x v="4"/>
    <x v="0"/>
    <s v="Agent K"/>
    <s v="Manila"/>
    <s v="Phone"/>
    <s v="Medium"/>
    <s v="High"/>
    <n v="3"/>
    <n v="5"/>
    <x v="0"/>
    <x v="3"/>
    <n v="2025"/>
    <x v="0"/>
    <s v="Aug"/>
  </r>
  <r>
    <s v="TCK-1472"/>
    <d v="2025-06-12T00:00:00"/>
    <m/>
    <x v="1"/>
    <s v="Open"/>
    <x v="4"/>
    <x v="0"/>
    <s v="Agent G"/>
    <s v="Cebu"/>
    <s v="Phone"/>
    <s v="Low"/>
    <s v="Medium"/>
    <s v=""/>
    <n v="3"/>
    <x v="2"/>
    <x v="6"/>
    <n v="2025"/>
    <x v="1"/>
    <s v="Open"/>
  </r>
  <r>
    <s v="TCK-1473"/>
    <d v="2025-04-18T00:00:00"/>
    <d v="2025-04-18T00:00:00"/>
    <x v="3"/>
    <s v="Closed"/>
    <x v="0"/>
    <x v="1"/>
    <s v="Agent N"/>
    <s v="Manila"/>
    <s v="Phone"/>
    <s v="Medium"/>
    <s v="Medium"/>
    <n v="0"/>
    <n v="5"/>
    <x v="0"/>
    <x v="7"/>
    <n v="2025"/>
    <x v="0"/>
    <s v="Apr"/>
  </r>
  <r>
    <s v="TCK-1474"/>
    <d v="2025-10-11T00:00:00"/>
    <d v="2025-10-11T00:00:00"/>
    <x v="2"/>
    <s v="Resolved"/>
    <x v="2"/>
    <x v="4"/>
    <s v="Agent D"/>
    <s v="Davao"/>
    <s v="Chat"/>
    <s v="High"/>
    <s v="Medium"/>
    <n v="0"/>
    <n v="1"/>
    <x v="0"/>
    <x v="4"/>
    <n v="2025"/>
    <x v="0"/>
    <s v="Oct"/>
  </r>
  <r>
    <s v="TCK-1475"/>
    <d v="2025-11-16T00:00:00"/>
    <d v="2025-11-18T00:00:00"/>
    <x v="0"/>
    <s v="Closed"/>
    <x v="6"/>
    <x v="3"/>
    <s v="Agent L"/>
    <s v="Cebu"/>
    <s v="Chat"/>
    <s v="High"/>
    <s v="Medium"/>
    <n v="2"/>
    <n v="7"/>
    <x v="0"/>
    <x v="1"/>
    <n v="2025"/>
    <x v="0"/>
    <s v="Nov"/>
  </r>
  <r>
    <s v="TCK-1476"/>
    <d v="2025-09-17T00:00:00"/>
    <d v="2025-09-17T00:00:00"/>
    <x v="3"/>
    <s v="Resolved"/>
    <x v="4"/>
    <x v="1"/>
    <s v="Agent Q"/>
    <s v="BGC"/>
    <s v="Phone"/>
    <s v="Low"/>
    <s v="Medium"/>
    <n v="0"/>
    <n v="5"/>
    <x v="0"/>
    <x v="10"/>
    <n v="2025"/>
    <x v="0"/>
    <s v="Sep"/>
  </r>
  <r>
    <s v="TCK-1477"/>
    <d v="2025-07-20T00:00:00"/>
    <m/>
    <x v="1"/>
    <s v="In Progress"/>
    <x v="6"/>
    <x v="1"/>
    <s v="Agent N"/>
    <s v="Davao"/>
    <s v="Email"/>
    <s v="Low"/>
    <s v="Low"/>
    <s v=""/>
    <n v="3"/>
    <x v="2"/>
    <x v="2"/>
    <n v="2025"/>
    <x v="1"/>
    <s v="Open"/>
  </r>
  <r>
    <s v="TCK-1478"/>
    <d v="2025-11-18T00:00:00"/>
    <d v="2025-11-19T00:00:00"/>
    <x v="0"/>
    <s v="Closed"/>
    <x v="0"/>
    <x v="3"/>
    <s v="Unassigned"/>
    <s v="Clark"/>
    <s v="Portal"/>
    <s v="High"/>
    <s v="High"/>
    <n v="1"/>
    <n v="7"/>
    <x v="0"/>
    <x v="1"/>
    <n v="2025"/>
    <x v="0"/>
    <s v="Nov"/>
  </r>
  <r>
    <s v="TCK-1479"/>
    <d v="2025-04-24T00:00:00"/>
    <d v="2025-04-25T00:00:00"/>
    <x v="2"/>
    <s v="Resolved"/>
    <x v="4"/>
    <x v="0"/>
    <s v="Agent D"/>
    <s v="Manila"/>
    <s v="Phone"/>
    <s v="Medium"/>
    <s v="Medium"/>
    <n v="1"/>
    <n v="1"/>
    <x v="0"/>
    <x v="7"/>
    <n v="2025"/>
    <x v="0"/>
    <s v="Apr"/>
  </r>
  <r>
    <s v="TCK-1480"/>
    <d v="2025-02-17T00:00:00"/>
    <m/>
    <x v="3"/>
    <s v="Open"/>
    <x v="3"/>
    <x v="4"/>
    <s v="Agent N"/>
    <s v="Clark"/>
    <s v="Chat"/>
    <s v="High"/>
    <s v="High"/>
    <s v=""/>
    <n v="5"/>
    <x v="2"/>
    <x v="5"/>
    <n v="2025"/>
    <x v="1"/>
    <s v="Open"/>
  </r>
  <r>
    <s v="TCK-1481"/>
    <d v="2025-04-02T00:00:00"/>
    <d v="2025-04-02T00:00:00"/>
    <x v="1"/>
    <s v="Closed"/>
    <x v="4"/>
    <x v="4"/>
    <s v="Agent Q"/>
    <s v="Makati"/>
    <s v="Portal"/>
    <s v="High"/>
    <s v="High"/>
    <n v="0"/>
    <n v="3"/>
    <x v="0"/>
    <x v="7"/>
    <n v="2025"/>
    <x v="0"/>
    <s v="Apr"/>
  </r>
  <r>
    <s v="TCK-1482"/>
    <d v="2025-03-12T00:00:00"/>
    <m/>
    <x v="0"/>
    <s v="In Progress"/>
    <x v="2"/>
    <x v="1"/>
    <s v="Agent P"/>
    <s v="Makati"/>
    <s v="Portal"/>
    <s v="High"/>
    <s v="High"/>
    <s v=""/>
    <n v="7"/>
    <x v="2"/>
    <x v="11"/>
    <n v="2025"/>
    <x v="1"/>
    <s v="Open"/>
  </r>
  <r>
    <s v="TCK-1483"/>
    <d v="2025-05-24T00:00:00"/>
    <d v="2025-05-26T00:00:00"/>
    <x v="1"/>
    <s v="Closed"/>
    <x v="5"/>
    <x v="1"/>
    <s v="Agent T"/>
    <s v="Davao"/>
    <s v="Portal"/>
    <s v="Medium"/>
    <s v="Low"/>
    <n v="2"/>
    <n v="3"/>
    <x v="0"/>
    <x v="9"/>
    <n v="2025"/>
    <x v="0"/>
    <s v="May"/>
  </r>
  <r>
    <s v="TCK-1484"/>
    <d v="2025-08-19T00:00:00"/>
    <m/>
    <x v="3"/>
    <s v="In Progress"/>
    <x v="6"/>
    <x v="1"/>
    <s v="Agent D"/>
    <s v="Cebu"/>
    <s v="Phone"/>
    <s v="Medium"/>
    <s v="High"/>
    <s v=""/>
    <n v="5"/>
    <x v="2"/>
    <x v="3"/>
    <n v="2025"/>
    <x v="1"/>
    <s v="Open"/>
  </r>
  <r>
    <s v="TCK-1485"/>
    <d v="2025-12-03T00:00:00"/>
    <d v="2025-12-06T00:00:00"/>
    <x v="1"/>
    <s v="Resolved"/>
    <x v="1"/>
    <x v="4"/>
    <s v="Agent T"/>
    <s v="Manila"/>
    <s v="Portal"/>
    <s v="Low"/>
    <s v="Low"/>
    <n v="3"/>
    <n v="3"/>
    <x v="0"/>
    <x v="8"/>
    <n v="2025"/>
    <x v="0"/>
    <s v="Dec"/>
  </r>
  <r>
    <s v="TCK-1486"/>
    <d v="2025-12-10T00:00:00"/>
    <m/>
    <x v="2"/>
    <s v="Open"/>
    <x v="6"/>
    <x v="3"/>
    <s v="Agent I"/>
    <s v="Cebu"/>
    <s v="Phone"/>
    <s v="Low"/>
    <s v="Medium"/>
    <s v=""/>
    <n v="1"/>
    <x v="2"/>
    <x v="8"/>
    <n v="2025"/>
    <x v="1"/>
    <s v="Open"/>
  </r>
  <r>
    <s v="TCK-1487"/>
    <d v="2025-05-02T00:00:00"/>
    <d v="2025-05-02T00:00:00"/>
    <x v="2"/>
    <s v="Resolved"/>
    <x v="5"/>
    <x v="0"/>
    <s v="Unassigned"/>
    <s v="Cebu"/>
    <s v="Email"/>
    <s v="Medium"/>
    <s v="Low"/>
    <n v="0"/>
    <n v="1"/>
    <x v="0"/>
    <x v="9"/>
    <n v="2025"/>
    <x v="0"/>
    <s v="May"/>
  </r>
  <r>
    <s v="TCK-1488"/>
    <d v="2025-06-12T00:00:00"/>
    <d v="2025-06-13T00:00:00"/>
    <x v="1"/>
    <s v="Closed"/>
    <x v="2"/>
    <x v="4"/>
    <s v="Agent T"/>
    <s v="Manila"/>
    <s v="Email"/>
    <s v="High"/>
    <s v="High"/>
    <n v="1"/>
    <n v="3"/>
    <x v="0"/>
    <x v="6"/>
    <n v="2025"/>
    <x v="0"/>
    <s v="Jun"/>
  </r>
  <r>
    <s v="TCK-1489"/>
    <d v="2025-12-19T00:00:00"/>
    <d v="2025-12-21T00:00:00"/>
    <x v="3"/>
    <s v="Closed"/>
    <x v="4"/>
    <x v="4"/>
    <s v="Agent J"/>
    <s v="Clark"/>
    <s v="Chat"/>
    <s v="Medium"/>
    <s v="Low"/>
    <n v="2"/>
    <n v="5"/>
    <x v="0"/>
    <x v="8"/>
    <n v="2025"/>
    <x v="0"/>
    <s v="Dec"/>
  </r>
  <r>
    <s v="TCK-1490"/>
    <d v="2025-03-12T00:00:00"/>
    <d v="2025-03-18T00:00:00"/>
    <x v="0"/>
    <s v="Resolved"/>
    <x v="6"/>
    <x v="3"/>
    <s v="Agent I"/>
    <s v="Makati"/>
    <s v="Email"/>
    <s v="Medium"/>
    <s v="Medium"/>
    <n v="6"/>
    <n v="7"/>
    <x v="0"/>
    <x v="11"/>
    <n v="2025"/>
    <x v="0"/>
    <s v="Mar"/>
  </r>
  <r>
    <s v="TCK-1491"/>
    <d v="2025-06-30T00:00:00"/>
    <d v="2025-07-04T00:00:00"/>
    <x v="3"/>
    <s v="Resolved"/>
    <x v="5"/>
    <x v="2"/>
    <s v="Agent K"/>
    <s v="Iloilo"/>
    <s v="Portal"/>
    <s v="Low"/>
    <s v="Medium"/>
    <n v="4"/>
    <n v="5"/>
    <x v="0"/>
    <x v="6"/>
    <n v="2025"/>
    <x v="0"/>
    <s v="Jul"/>
  </r>
  <r>
    <s v="TCK-1492"/>
    <d v="2025-09-16T00:00:00"/>
    <m/>
    <x v="3"/>
    <s v="Open"/>
    <x v="6"/>
    <x v="2"/>
    <s v="Agent N"/>
    <s v="Iloilo"/>
    <s v="Email"/>
    <s v="High"/>
    <s v="Medium"/>
    <s v=""/>
    <n v="5"/>
    <x v="2"/>
    <x v="10"/>
    <n v="2025"/>
    <x v="1"/>
    <s v="Open"/>
  </r>
  <r>
    <s v="TCK-1493"/>
    <d v="2025-02-26T00:00:00"/>
    <m/>
    <x v="0"/>
    <s v="In Progress"/>
    <x v="4"/>
    <x v="0"/>
    <s v="Agent N"/>
    <s v="Davao"/>
    <s v="Chat"/>
    <s v="Low"/>
    <s v="Medium"/>
    <s v=""/>
    <n v="7"/>
    <x v="2"/>
    <x v="5"/>
    <n v="2025"/>
    <x v="1"/>
    <s v="Open"/>
  </r>
  <r>
    <s v="TCK-1494"/>
    <d v="2025-05-20T00:00:00"/>
    <d v="2025-05-21T00:00:00"/>
    <x v="1"/>
    <s v="Resolved"/>
    <x v="6"/>
    <x v="4"/>
    <s v="Agent H"/>
    <s v="Manila"/>
    <s v="Email"/>
    <s v="High"/>
    <s v="Low"/>
    <n v="1"/>
    <n v="3"/>
    <x v="0"/>
    <x v="9"/>
    <n v="2025"/>
    <x v="0"/>
    <s v="May"/>
  </r>
  <r>
    <s v="TCK-1495"/>
    <d v="2025-02-03T00:00:00"/>
    <d v="2025-02-07T00:00:00"/>
    <x v="3"/>
    <s v="Resolved"/>
    <x v="0"/>
    <x v="2"/>
    <s v="Agent L"/>
    <s v="Clark"/>
    <s v="Email"/>
    <s v="High"/>
    <s v="High"/>
    <n v="4"/>
    <n v="5"/>
    <x v="0"/>
    <x v="5"/>
    <n v="2025"/>
    <x v="0"/>
    <s v="Feb"/>
  </r>
  <r>
    <s v="TCK-1496"/>
    <d v="2025-12-25T00:00:00"/>
    <d v="2025-12-27T00:00:00"/>
    <x v="3"/>
    <s v="Closed"/>
    <x v="7"/>
    <x v="5"/>
    <s v="Agent K"/>
    <s v="Manila"/>
    <s v="Phone"/>
    <s v="Low"/>
    <s v="High"/>
    <n v="2"/>
    <n v="5"/>
    <x v="0"/>
    <x v="8"/>
    <n v="2025"/>
    <x v="0"/>
    <s v="Dec"/>
  </r>
  <r>
    <s v="TCK-1497"/>
    <d v="2025-08-31T00:00:00"/>
    <d v="2025-09-04T00:00:00"/>
    <x v="3"/>
    <s v="Resolved"/>
    <x v="2"/>
    <x v="4"/>
    <s v="Agent K"/>
    <s v="Davao"/>
    <s v="Portal"/>
    <s v="Low"/>
    <s v="Medium"/>
    <n v="4"/>
    <n v="5"/>
    <x v="0"/>
    <x v="3"/>
    <n v="2025"/>
    <x v="0"/>
    <s v="Sep"/>
  </r>
  <r>
    <s v="TCK-1498"/>
    <d v="2025-08-23T00:00:00"/>
    <m/>
    <x v="1"/>
    <s v="Open"/>
    <x v="5"/>
    <x v="5"/>
    <s v="Agent H"/>
    <s v="BGC"/>
    <s v="Chat"/>
    <s v="High"/>
    <s v="High"/>
    <s v=""/>
    <n v="3"/>
    <x v="2"/>
    <x v="3"/>
    <n v="2025"/>
    <x v="1"/>
    <s v="Open"/>
  </r>
  <r>
    <s v="TCK-1499"/>
    <d v="2025-12-23T00:00:00"/>
    <d v="2025-12-27T00:00:00"/>
    <x v="3"/>
    <s v="Closed"/>
    <x v="0"/>
    <x v="3"/>
    <s v="Agent Q"/>
    <s v="BGC"/>
    <s v="Chat"/>
    <s v="Low"/>
    <s v="Medium"/>
    <n v="4"/>
    <n v="5"/>
    <x v="0"/>
    <x v="8"/>
    <n v="2025"/>
    <x v="0"/>
    <s v="Dec"/>
  </r>
  <r>
    <s v="TCK-1500"/>
    <d v="2025-05-22T00:00:00"/>
    <d v="2025-05-22T00:00:00"/>
    <x v="1"/>
    <s v="Resolved"/>
    <x v="5"/>
    <x v="4"/>
    <s v="Agent E"/>
    <s v="Davao"/>
    <s v="Portal"/>
    <s v="Low"/>
    <s v="Low"/>
    <n v="0"/>
    <n v="3"/>
    <x v="0"/>
    <x v="9"/>
    <n v="2025"/>
    <x v="0"/>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7:K22" firstHeaderRow="1" firstDataRow="1" firstDataCol="1"/>
  <pivotFields count="19">
    <pivotField showAll="0"/>
    <pivotField numFmtId="164" showAll="0"/>
    <pivotField showAll="0"/>
    <pivotField axis="axisRow" showAll="0">
      <items count="5">
        <item x="2"/>
        <item x="1"/>
        <item x="3"/>
        <item x="0"/>
        <item t="default"/>
      </items>
    </pivotField>
    <pivotField showAll="0"/>
    <pivotField showAll="0">
      <items count="9">
        <item x="5"/>
        <item x="3"/>
        <item x="2"/>
        <item x="4"/>
        <item x="7"/>
        <item x="0"/>
        <item x="1"/>
        <item x="6"/>
        <item t="default"/>
      </items>
    </pivotField>
    <pivotField showAll="0"/>
    <pivotField showAll="0"/>
    <pivotField showAll="0"/>
    <pivotField showAll="0"/>
    <pivotField showAll="0"/>
    <pivotField showAll="0"/>
    <pivotField dataField="1" showAll="0"/>
    <pivotField showAll="0"/>
    <pivotField showAll="0"/>
    <pivotField showAll="0">
      <items count="13">
        <item x="0"/>
        <item x="5"/>
        <item x="11"/>
        <item x="7"/>
        <item x="9"/>
        <item x="6"/>
        <item x="2"/>
        <item x="3"/>
        <item x="10"/>
        <item x="4"/>
        <item x="1"/>
        <item x="8"/>
        <item t="default"/>
      </items>
    </pivotField>
    <pivotField showAll="0"/>
    <pivotField showAll="0"/>
    <pivotField showAll="0"/>
  </pivotFields>
  <rowFields count="1">
    <field x="3"/>
  </rowFields>
  <rowItems count="5">
    <i>
      <x/>
    </i>
    <i>
      <x v="1"/>
    </i>
    <i>
      <x v="2"/>
    </i>
    <i>
      <x v="3"/>
    </i>
    <i t="grand">
      <x/>
    </i>
  </rowItems>
  <colItems count="1">
    <i/>
  </colItems>
  <dataFields count="1">
    <dataField name="Average of Resolution_Time (Days)" fld="12" subtotal="average" baseField="3" baseItem="0" numFmtId="2"/>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F3:G6" firstHeaderRow="1" firstDataRow="1" firstDataCol="1"/>
  <pivotFields count="19">
    <pivotField dataField="1" showAll="0"/>
    <pivotField numFmtId="164" showAll="0"/>
    <pivotField showAll="0"/>
    <pivotField showAll="0">
      <items count="5">
        <item x="2"/>
        <item x="1"/>
        <item x="3"/>
        <item x="0"/>
        <item t="default"/>
      </items>
    </pivotField>
    <pivotField showAll="0"/>
    <pivotField showAll="0">
      <items count="9">
        <item x="5"/>
        <item x="3"/>
        <item x="2"/>
        <item x="4"/>
        <item x="7"/>
        <item x="0"/>
        <item x="1"/>
        <item x="6"/>
        <item t="default"/>
      </items>
    </pivotField>
    <pivotField showAll="0">
      <items count="8">
        <item m="1" x="6"/>
        <item x="3"/>
        <item x="1"/>
        <item x="2"/>
        <item x="0"/>
        <item x="4"/>
        <item x="5"/>
        <item t="default"/>
      </items>
    </pivotField>
    <pivotField showAll="0"/>
    <pivotField showAll="0"/>
    <pivotField showAll="0"/>
    <pivotField showAll="0"/>
    <pivotField showAll="0"/>
    <pivotField showAll="0"/>
    <pivotField showAll="0"/>
    <pivotField showAll="0"/>
    <pivotField showAll="0">
      <items count="13">
        <item x="0"/>
        <item x="5"/>
        <item x="11"/>
        <item x="7"/>
        <item x="9"/>
        <item x="6"/>
        <item x="2"/>
        <item x="3"/>
        <item x="10"/>
        <item x="4"/>
        <item x="1"/>
        <item x="8"/>
        <item t="default"/>
      </items>
    </pivotField>
    <pivotField showAll="0"/>
    <pivotField axis="axisRow" showAll="0">
      <items count="3">
        <item x="0"/>
        <item x="1"/>
        <item t="default"/>
      </items>
    </pivotField>
    <pivotField showAll="0"/>
  </pivotFields>
  <rowFields count="1">
    <field x="17"/>
  </rowFields>
  <rowItems count="3">
    <i>
      <x/>
    </i>
    <i>
      <x v="1"/>
    </i>
    <i t="grand">
      <x/>
    </i>
  </rowItems>
  <colItems count="1">
    <i/>
  </colItems>
  <dataFields count="1">
    <dataField name="Count of Ticket_ID" fld="0" subtotal="count" baseField="0" baseItem="0"/>
  </dataFields>
  <chartFormats count="7">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7" count="1" selected="0">
            <x v="0"/>
          </reference>
        </references>
      </pivotArea>
    </chartFormat>
    <chartFormat chart="9" format="3">
      <pivotArea type="data" outline="0" fieldPosition="0">
        <references count="2">
          <reference field="4294967294" count="1" selected="0">
            <x v="0"/>
          </reference>
          <reference field="17"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7" count="1" selected="0">
            <x v="0"/>
          </reference>
        </references>
      </pivotArea>
    </chartFormat>
    <chartFormat chart="10"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F17:G30" firstHeaderRow="1" firstDataRow="1" firstDataCol="1"/>
  <pivotFields count="19">
    <pivotField dataField="1" showAll="0"/>
    <pivotField numFmtId="164" showAll="0"/>
    <pivotField showAll="0"/>
    <pivotField showAll="0">
      <items count="5">
        <item x="2"/>
        <item x="1"/>
        <item x="3"/>
        <item x="0"/>
        <item t="default"/>
      </items>
    </pivotField>
    <pivotField showAll="0"/>
    <pivotField showAll="0">
      <items count="9">
        <item x="5"/>
        <item x="3"/>
        <item x="2"/>
        <item x="4"/>
        <item x="7"/>
        <item x="0"/>
        <item x="1"/>
        <item x="6"/>
        <item t="default"/>
      </items>
    </pivotField>
    <pivotField showAll="0">
      <items count="8">
        <item m="1" x="6"/>
        <item x="3"/>
        <item x="1"/>
        <item x="2"/>
        <item x="0"/>
        <item x="4"/>
        <item x="5"/>
        <item t="default"/>
      </items>
    </pivotField>
    <pivotField showAll="0"/>
    <pivotField showAll="0"/>
    <pivotField showAll="0"/>
    <pivotField showAll="0"/>
    <pivotField showAll="0"/>
    <pivotField showAll="0"/>
    <pivotField showAll="0"/>
    <pivotField showAll="0"/>
    <pivotField axis="axisRow" showAll="0">
      <items count="13">
        <item x="0"/>
        <item x="5"/>
        <item x="11"/>
        <item x="7"/>
        <item x="9"/>
        <item x="6"/>
        <item x="2"/>
        <item x="3"/>
        <item x="10"/>
        <item x="4"/>
        <item x="1"/>
        <item x="8"/>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Count of Ticke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3:C17" firstHeaderRow="1" firstDataRow="1" firstDataCol="1"/>
  <pivotFields count="19">
    <pivotField dataField="1" showAll="0"/>
    <pivotField numFmtId="164" showAll="0"/>
    <pivotField showAll="0"/>
    <pivotField showAll="0">
      <items count="5">
        <item x="2"/>
        <item x="1"/>
        <item x="3"/>
        <item x="0"/>
        <item t="default"/>
      </items>
    </pivotField>
    <pivotField showAll="0"/>
    <pivotField showAll="0">
      <items count="9">
        <item x="5"/>
        <item x="3"/>
        <item x="2"/>
        <item x="4"/>
        <item x="7"/>
        <item x="0"/>
        <item x="1"/>
        <item x="6"/>
        <item t="default"/>
      </items>
    </pivotField>
    <pivotField showAll="0">
      <items count="8">
        <item m="1" x="6"/>
        <item x="3"/>
        <item x="1"/>
        <item x="2"/>
        <item x="0"/>
        <item x="4"/>
        <item x="5"/>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 showAll="0">
      <items count="13">
        <item x="0"/>
        <item x="5"/>
        <item x="11"/>
        <item x="7"/>
        <item x="9"/>
        <item x="6"/>
        <item x="2"/>
        <item x="3"/>
        <item x="10"/>
        <item x="4"/>
        <item x="1"/>
        <item x="8"/>
        <item t="default"/>
      </items>
    </pivotField>
    <pivotField showAll="0"/>
    <pivotField showAll="0"/>
    <pivotField showAll="0"/>
  </pivotFields>
  <rowFields count="1">
    <field x="14"/>
  </rowFields>
  <rowItems count="4">
    <i>
      <x/>
    </i>
    <i>
      <x v="1"/>
    </i>
    <i>
      <x v="2"/>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3:C8" firstHeaderRow="1" firstDataRow="1" firstDataCol="1"/>
  <pivotFields count="19">
    <pivotField dataField="1" showAll="0"/>
    <pivotField numFmtId="164" showAll="0"/>
    <pivotField showAll="0"/>
    <pivotField axis="axisRow" showAll="0" sortType="descending">
      <items count="5">
        <item x="0"/>
        <item x="3"/>
        <item x="1"/>
        <item x="2"/>
        <item t="default"/>
      </items>
    </pivotField>
    <pivotField showAll="0"/>
    <pivotField showAll="0">
      <items count="9">
        <item x="5"/>
        <item x="3"/>
        <item x="2"/>
        <item x="4"/>
        <item x="7"/>
        <item x="0"/>
        <item x="1"/>
        <item x="6"/>
        <item t="default"/>
      </items>
    </pivotField>
    <pivotField showAll="0">
      <items count="8">
        <item m="1" x="6"/>
        <item x="3"/>
        <item x="1"/>
        <item x="2"/>
        <item x="0"/>
        <item x="4"/>
        <item x="5"/>
        <item t="default"/>
      </items>
    </pivotField>
    <pivotField showAll="0"/>
    <pivotField showAll="0"/>
    <pivotField showAll="0"/>
    <pivotField showAll="0"/>
    <pivotField showAll="0"/>
    <pivotField showAll="0"/>
    <pivotField showAll="0"/>
    <pivotField showAll="0"/>
    <pivotField showAll="0">
      <items count="13">
        <item x="0"/>
        <item x="5"/>
        <item x="11"/>
        <item x="7"/>
        <item x="9"/>
        <item x="6"/>
        <item x="2"/>
        <item x="3"/>
        <item x="10"/>
        <item x="4"/>
        <item x="1"/>
        <item x="8"/>
        <item t="default"/>
      </items>
    </pivotField>
    <pivotField showAll="0"/>
    <pivotField showAll="0"/>
    <pivotField showAll="0"/>
  </pivotFields>
  <rowFields count="1">
    <field x="3"/>
  </rowFields>
  <rowItems count="5">
    <i>
      <x/>
    </i>
    <i>
      <x v="1"/>
    </i>
    <i>
      <x v="2"/>
    </i>
    <i>
      <x v="3"/>
    </i>
    <i t="grand">
      <x/>
    </i>
  </rowItems>
  <colItems count="1">
    <i/>
  </colItems>
  <dataFields count="1">
    <dataField name="Count of Ticke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J3:K12" firstHeaderRow="1" firstDataRow="1" firstDataCol="1"/>
  <pivotFields count="19">
    <pivotField dataField="1" showAll="0"/>
    <pivotField numFmtId="164" showAll="0"/>
    <pivotField showAll="0"/>
    <pivotField showAll="0">
      <items count="5">
        <item x="2"/>
        <item x="1"/>
        <item x="3"/>
        <item x="0"/>
        <item t="default"/>
      </items>
    </pivotField>
    <pivotField showAll="0"/>
    <pivotField axis="axisRow" showAll="0" sortType="descending">
      <items count="9">
        <item x="5"/>
        <item x="3"/>
        <item x="2"/>
        <item x="4"/>
        <item x="7"/>
        <item x="0"/>
        <item x="1"/>
        <item x="6"/>
        <item t="default"/>
      </items>
      <autoSortScope>
        <pivotArea dataOnly="0" outline="0" fieldPosition="0">
          <references count="1">
            <reference field="4294967294" count="1" selected="0">
              <x v="0"/>
            </reference>
          </references>
        </pivotArea>
      </autoSortScope>
    </pivotField>
    <pivotField showAll="0">
      <items count="8">
        <item m="1" x="6"/>
        <item x="3"/>
        <item x="1"/>
        <item x="2"/>
        <item x="0"/>
        <item x="4"/>
        <item x="5"/>
        <item t="default"/>
      </items>
    </pivotField>
    <pivotField showAll="0"/>
    <pivotField showAll="0"/>
    <pivotField showAll="0"/>
    <pivotField showAll="0"/>
    <pivotField showAll="0"/>
    <pivotField showAll="0"/>
    <pivotField showAll="0"/>
    <pivotField showAll="0"/>
    <pivotField showAll="0">
      <items count="13">
        <item x="0"/>
        <item x="5"/>
        <item x="11"/>
        <item x="7"/>
        <item x="9"/>
        <item x="6"/>
        <item x="2"/>
        <item x="3"/>
        <item x="10"/>
        <item x="4"/>
        <item x="1"/>
        <item x="8"/>
        <item t="default"/>
      </items>
    </pivotField>
    <pivotField showAll="0"/>
    <pivotField showAll="0"/>
    <pivotField showAll="0"/>
  </pivotFields>
  <rowFields count="1">
    <field x="5"/>
  </rowFields>
  <rowItems count="9">
    <i>
      <x v="7"/>
    </i>
    <i>
      <x v="5"/>
    </i>
    <i>
      <x/>
    </i>
    <i>
      <x v="1"/>
    </i>
    <i>
      <x v="3"/>
    </i>
    <i>
      <x v="6"/>
    </i>
    <i>
      <x v="4"/>
    </i>
    <i>
      <x v="2"/>
    </i>
    <i t="grand">
      <x/>
    </i>
  </rowItems>
  <colItems count="1">
    <i/>
  </colItems>
  <dataFields count="1">
    <dataField name="Count of Ticket_ID" fld="0" subtotal="count"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N3:O10" firstHeaderRow="1" firstDataRow="1" firstDataCol="1"/>
  <pivotFields count="19">
    <pivotField dataField="1" showAll="0"/>
    <pivotField numFmtId="164" showAll="0"/>
    <pivotField showAll="0"/>
    <pivotField showAll="0">
      <items count="5">
        <item x="2"/>
        <item x="1"/>
        <item x="3"/>
        <item x="0"/>
        <item t="default"/>
      </items>
    </pivotField>
    <pivotField showAll="0"/>
    <pivotField showAll="0">
      <items count="9">
        <item x="5"/>
        <item x="3"/>
        <item x="2"/>
        <item x="4"/>
        <item x="7"/>
        <item x="0"/>
        <item x="1"/>
        <item x="6"/>
        <item t="default"/>
      </items>
    </pivotField>
    <pivotField axis="axisRow" showAll="0" sortType="descending">
      <items count="8">
        <item x="5"/>
        <item x="4"/>
        <item x="0"/>
        <item x="2"/>
        <item x="1"/>
        <item x="3"/>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3">
        <item x="0"/>
        <item x="5"/>
        <item x="11"/>
        <item x="7"/>
        <item x="9"/>
        <item x="6"/>
        <item x="2"/>
        <item x="3"/>
        <item x="10"/>
        <item x="4"/>
        <item x="1"/>
        <item x="8"/>
        <item t="default"/>
      </items>
    </pivotField>
    <pivotField showAll="0"/>
    <pivotField showAll="0"/>
    <pivotField showAll="0"/>
  </pivotFields>
  <rowFields count="1">
    <field x="6"/>
  </rowFields>
  <rowItems count="7">
    <i>
      <x v="4"/>
    </i>
    <i>
      <x v="1"/>
    </i>
    <i>
      <x v="2"/>
    </i>
    <i>
      <x v="5"/>
    </i>
    <i>
      <x v="3"/>
    </i>
    <i>
      <x/>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AC247A30-BE3C-4854-AFF0-334026FA4F00}" sourceName="Priority">
  <pivotTables>
    <pivotTable tabId="3" name="PivotTable2"/>
    <pivotTable tabId="3" name="PivotTable3"/>
    <pivotTable tabId="3" name="PivotTable4"/>
    <pivotTable tabId="3" name="PivotTable6"/>
    <pivotTable tabId="3" name="PivotTable7"/>
    <pivotTable tabId="3" name="PivotTable8"/>
    <pivotTable tabId="3" name="PivotTable9"/>
  </pivotTables>
  <data>
    <tabular pivotCacheId="1187807152">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7A464A-C021-48A8-907E-728062DBA48E}" sourceName="Category">
  <pivotTables>
    <pivotTable tabId="3" name="PivotTable2"/>
    <pivotTable tabId="3" name="PivotTable3"/>
    <pivotTable tabId="3" name="PivotTable4"/>
    <pivotTable tabId="3" name="PivotTable6"/>
    <pivotTable tabId="3" name="PivotTable7"/>
    <pivotTable tabId="3" name="PivotTable8"/>
    <pivotTable tabId="3" name="PivotTable9"/>
  </pivotTables>
  <data>
    <tabular pivotCacheId="1187807152">
      <items count="8">
        <i x="5" s="1"/>
        <i x="3" s="1"/>
        <i x="2" s="1"/>
        <i x="4" s="1"/>
        <i x="7" s="1"/>
        <i x="0"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ment_Group" xr10:uid="{5A671677-8A35-4BD3-9671-E15737CAD603}" sourceName="Assignment_Group">
  <pivotTables>
    <pivotTable tabId="3" name="PivotTable2"/>
    <pivotTable tabId="3" name="PivotTable3"/>
    <pivotTable tabId="3" name="PivotTable4"/>
    <pivotTable tabId="3" name="PivotTable6"/>
    <pivotTable tabId="3" name="PivotTable7"/>
    <pivotTable tabId="3" name="PivotTable8"/>
  </pivotTables>
  <data>
    <tabular pivotCacheId="1187807152">
      <items count="7">
        <i x="3" s="1"/>
        <i x="1" s="1"/>
        <i x="2" s="1"/>
        <i x="0" s="1"/>
        <i x="4" s="1"/>
        <i x="5"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ed_Month" xr10:uid="{E6533D43-6BC4-4334-955F-65C00E8FB915}" sourceName="Created_Month">
  <pivotTables>
    <pivotTable tabId="3" name="PivotTable2"/>
    <pivotTable tabId="3" name="PivotTable3"/>
    <pivotTable tabId="3" name="PivotTable4"/>
    <pivotTable tabId="3" name="PivotTable6"/>
    <pivotTable tabId="3" name="PivotTable7"/>
    <pivotTable tabId="3" name="PivotTable8"/>
    <pivotTable tabId="3" name="PivotTable9"/>
  </pivotTables>
  <data>
    <tabular pivotCacheId="1187807152">
      <items count="12">
        <i x="0" s="1"/>
        <i x="5" s="1"/>
        <i x="11" s="1"/>
        <i x="7" s="1"/>
        <i x="9" s="1"/>
        <i x="6" s="1"/>
        <i x="2" s="1"/>
        <i x="3" s="1"/>
        <i x="10" s="1"/>
        <i x="4"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3E404D34-2305-488B-96FD-4C4ECB8F2352}" cache="Slicer_Priority" caption="Priority" rowHeight="241300"/>
  <slicer name="Category" xr10:uid="{C0D3BB3F-1B92-48E1-8EF8-17661F5B49DF}" cache="Slicer_Category" caption="Category" rowHeight="241300"/>
  <slicer name="Assignment_Group" xr10:uid="{DD9D6915-70DA-4B21-ABFA-297331EE49F4}" cache="Slicer_Assignment_Group" caption="Assignment_Group" rowHeight="241300"/>
  <slicer name="Created_Month" xr10:uid="{955D7AE8-34D8-4534-A6F2-68A7B4B597CB}" cache="Slicer_Created_Month" caption="Created_Month"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1Tickets" displayName="tb1Tickets" ref="A1:S501" totalsRowShown="0">
  <autoFilter ref="A1:S501" xr:uid="{00000000-0009-0000-0100-000001000000}"/>
  <tableColumns count="19">
    <tableColumn id="1" xr3:uid="{00000000-0010-0000-0000-000001000000}" name="Ticket_ID"/>
    <tableColumn id="2" xr3:uid="{00000000-0010-0000-0000-000002000000}" name="Created_Date" dataDxfId="1"/>
    <tableColumn id="3" xr3:uid="{00000000-0010-0000-0000-000003000000}" name="Resolved_Date" dataDxfId="0"/>
    <tableColumn id="4" xr3:uid="{00000000-0010-0000-0000-000004000000}" name="Priority"/>
    <tableColumn id="5" xr3:uid="{00000000-0010-0000-0000-000005000000}" name="Status"/>
    <tableColumn id="6" xr3:uid="{00000000-0010-0000-0000-000006000000}" name="Category"/>
    <tableColumn id="7" xr3:uid="{00000000-0010-0000-0000-000007000000}" name="Assignment_Group"/>
    <tableColumn id="8" xr3:uid="{00000000-0010-0000-0000-000008000000}" name="Assigned_Agent"/>
    <tableColumn id="9" xr3:uid="{00000000-0010-0000-0000-000009000000}" name="Location"/>
    <tableColumn id="10" xr3:uid="{00000000-0010-0000-0000-00000A000000}" name="Channel"/>
    <tableColumn id="11" xr3:uid="{00000000-0010-0000-0000-00000B000000}" name="Impact"/>
    <tableColumn id="12" xr3:uid="{00000000-0010-0000-0000-00000C000000}" name="Urgency"/>
    <tableColumn id="13" xr3:uid="{00000000-0010-0000-0000-00000D000000}" name="Resolution_Time (Days)">
      <calculatedColumnFormula>IF(C2="","",C2-B2)</calculatedColumnFormula>
    </tableColumn>
    <tableColumn id="14" xr3:uid="{00000000-0010-0000-0000-00000E000000}" name="SLA_Target(Days)">
      <calculatedColumnFormula>IF(D2="P1",1,
IF(D2="P2",3,
IF(D2="P3",5,7)))</calculatedColumnFormula>
    </tableColumn>
    <tableColumn id="15" xr3:uid="{00000000-0010-0000-0000-00000F000000}" name="SLA_Status">
      <calculatedColumnFormula>IF(C2="","Open",
IF(M2&lt;=N2, "Met", "Breached"))</calculatedColumnFormula>
    </tableColumn>
    <tableColumn id="16" xr3:uid="{00000000-0010-0000-0000-000010000000}" name="Created_Month">
      <calculatedColumnFormula>TEXT(B2,"mmm")</calculatedColumnFormula>
    </tableColumn>
    <tableColumn id="17" xr3:uid="{00000000-0010-0000-0000-000011000000}" name="Created_Year">
      <calculatedColumnFormula>YEAR(B2)</calculatedColumnFormula>
    </tableColumn>
    <tableColumn id="18" xr3:uid="{00000000-0010-0000-0000-000012000000}" name="Open/Closed">
      <calculatedColumnFormula>IF(C2="","Open","Closed")</calculatedColumnFormula>
    </tableColumn>
    <tableColumn id="19" xr3:uid="{00000000-0010-0000-0000-000013000000}" name="Resolution_Month">
      <calculatedColumnFormula>IF(C2="","Open",TEXT(C2,"mmm"))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5"/>
  <sheetViews>
    <sheetView zoomScale="85" zoomScaleNormal="85" workbookViewId="0"/>
  </sheetViews>
  <sheetFormatPr defaultRowHeight="15" x14ac:dyDescent="0.25"/>
  <cols>
    <col min="1" max="1" width="16.28515625" customWidth="1"/>
    <col min="2" max="2" width="15.5703125" style="16" bestFit="1" customWidth="1"/>
    <col min="3" max="3" width="16.7109375" style="16" bestFit="1" customWidth="1"/>
    <col min="4" max="4" width="11" style="21" bestFit="1" customWidth="1"/>
    <col min="5" max="5" width="12.5703125" bestFit="1" customWidth="1"/>
    <col min="6" max="6" width="16.7109375" bestFit="1" customWidth="1"/>
    <col min="7" max="7" width="18.140625" bestFit="1" customWidth="1"/>
    <col min="8" max="8" width="15.42578125" bestFit="1" customWidth="1"/>
    <col min="9" max="9" width="8.42578125" bestFit="1" customWidth="1"/>
    <col min="10" max="10" width="8.28515625" bestFit="1" customWidth="1"/>
    <col min="11" max="12" width="8.42578125" bestFit="1" customWidth="1"/>
    <col min="14" max="14" width="11" bestFit="1" customWidth="1"/>
    <col min="15" max="15" width="15.5703125" style="16" bestFit="1" customWidth="1"/>
    <col min="16" max="16" width="16.7109375" style="16" bestFit="1" customWidth="1"/>
    <col min="19" max="19" width="17.28515625" bestFit="1" customWidth="1"/>
  </cols>
  <sheetData>
    <row r="1" spans="1:16" x14ac:dyDescent="0.25">
      <c r="A1" s="16" t="s">
        <v>0</v>
      </c>
      <c r="B1" s="16" t="s">
        <v>1</v>
      </c>
      <c r="C1" s="16" t="s">
        <v>2</v>
      </c>
      <c r="D1" s="16" t="s">
        <v>3</v>
      </c>
      <c r="E1" s="16" t="s">
        <v>4</v>
      </c>
      <c r="F1" s="16" t="s">
        <v>5</v>
      </c>
      <c r="G1" s="16" t="s">
        <v>6</v>
      </c>
      <c r="H1" s="16" t="s">
        <v>7</v>
      </c>
      <c r="I1" s="16" t="s">
        <v>8</v>
      </c>
      <c r="J1" s="16" t="s">
        <v>9</v>
      </c>
      <c r="K1" s="16" t="s">
        <v>10</v>
      </c>
      <c r="L1" s="16" t="s">
        <v>11</v>
      </c>
      <c r="O1"/>
      <c r="P1"/>
    </row>
    <row r="2" spans="1:16" x14ac:dyDescent="0.25">
      <c r="A2" s="16" t="s">
        <v>12</v>
      </c>
      <c r="B2" s="12">
        <v>45670</v>
      </c>
      <c r="C2" s="13">
        <v>45673</v>
      </c>
      <c r="D2" s="16" t="s">
        <v>13</v>
      </c>
      <c r="E2" s="16" t="s">
        <v>14</v>
      </c>
      <c r="F2" s="16" t="s">
        <v>15</v>
      </c>
      <c r="G2" s="16" t="s">
        <v>16</v>
      </c>
      <c r="H2" s="16"/>
      <c r="I2" s="16" t="s">
        <v>17</v>
      </c>
      <c r="J2" s="16" t="s">
        <v>18</v>
      </c>
      <c r="K2" s="16" t="s">
        <v>19</v>
      </c>
      <c r="L2" s="16" t="s">
        <v>20</v>
      </c>
      <c r="O2"/>
      <c r="P2"/>
    </row>
    <row r="3" spans="1:16" x14ac:dyDescent="0.25">
      <c r="A3" s="16" t="s">
        <v>21</v>
      </c>
      <c r="B3" s="13">
        <v>45661</v>
      </c>
      <c r="C3" s="13">
        <v>45665</v>
      </c>
      <c r="D3" s="16" t="s">
        <v>13</v>
      </c>
      <c r="E3" s="16" t="s">
        <v>14</v>
      </c>
      <c r="F3" s="16" t="s">
        <v>22</v>
      </c>
      <c r="G3" s="16" t="s">
        <v>23</v>
      </c>
      <c r="H3" s="16" t="s">
        <v>24</v>
      </c>
      <c r="I3" s="16" t="s">
        <v>25</v>
      </c>
      <c r="J3" s="16" t="s">
        <v>26</v>
      </c>
      <c r="K3" s="16" t="s">
        <v>19</v>
      </c>
      <c r="L3" s="16" t="s">
        <v>19</v>
      </c>
      <c r="O3"/>
      <c r="P3"/>
    </row>
    <row r="4" spans="1:16" x14ac:dyDescent="0.25">
      <c r="A4" s="16" t="s">
        <v>27</v>
      </c>
      <c r="B4" s="13">
        <v>45978</v>
      </c>
      <c r="C4" s="13">
        <v>45984</v>
      </c>
      <c r="D4" s="16" t="s">
        <v>28</v>
      </c>
      <c r="E4" s="16" t="s">
        <v>29</v>
      </c>
      <c r="F4" s="16" t="s">
        <v>30</v>
      </c>
      <c r="G4" s="16" t="s">
        <v>31</v>
      </c>
      <c r="H4" s="16" t="s">
        <v>32</v>
      </c>
      <c r="I4" s="16" t="s">
        <v>33</v>
      </c>
      <c r="J4" s="16" t="s">
        <v>34</v>
      </c>
      <c r="K4" s="16" t="s">
        <v>19</v>
      </c>
      <c r="L4" s="16" t="s">
        <v>19</v>
      </c>
      <c r="O4"/>
      <c r="P4"/>
    </row>
    <row r="5" spans="1:16" x14ac:dyDescent="0.25">
      <c r="A5" s="16" t="s">
        <v>35</v>
      </c>
      <c r="B5" s="13">
        <v>45843</v>
      </c>
      <c r="C5" s="13">
        <v>45843</v>
      </c>
      <c r="D5" s="16" t="s">
        <v>13</v>
      </c>
      <c r="E5" s="16" t="s">
        <v>29</v>
      </c>
      <c r="F5" s="16" t="s">
        <v>36</v>
      </c>
      <c r="G5" s="16" t="s">
        <v>16</v>
      </c>
      <c r="H5" s="16" t="s">
        <v>37</v>
      </c>
      <c r="I5" s="16" t="s">
        <v>38</v>
      </c>
      <c r="J5" s="16" t="s">
        <v>18</v>
      </c>
      <c r="K5" s="16" t="s">
        <v>39</v>
      </c>
      <c r="L5" s="16" t="s">
        <v>20</v>
      </c>
      <c r="O5"/>
      <c r="P5"/>
    </row>
    <row r="6" spans="1:16" x14ac:dyDescent="0.25">
      <c r="A6" s="16" t="s">
        <v>40</v>
      </c>
      <c r="B6" s="13">
        <v>45894</v>
      </c>
      <c r="C6" s="13">
        <v>45902</v>
      </c>
      <c r="D6" s="16" t="s">
        <v>13</v>
      </c>
      <c r="E6" s="16" t="s">
        <v>29</v>
      </c>
      <c r="F6" s="16" t="s">
        <v>41</v>
      </c>
      <c r="G6" s="16" t="s">
        <v>42</v>
      </c>
      <c r="H6" s="16" t="s">
        <v>43</v>
      </c>
      <c r="I6" s="16" t="s">
        <v>33</v>
      </c>
      <c r="J6" s="16" t="s">
        <v>26</v>
      </c>
      <c r="K6" s="16" t="s">
        <v>19</v>
      </c>
      <c r="L6" s="16" t="s">
        <v>39</v>
      </c>
      <c r="O6"/>
      <c r="P6"/>
    </row>
    <row r="7" spans="1:16" x14ac:dyDescent="0.25">
      <c r="A7" s="16" t="s">
        <v>44</v>
      </c>
      <c r="B7" s="13">
        <v>45945</v>
      </c>
      <c r="C7" s="13">
        <v>45952</v>
      </c>
      <c r="D7" s="16" t="s">
        <v>45</v>
      </c>
      <c r="E7" s="16" t="s">
        <v>14</v>
      </c>
      <c r="F7" s="16" t="s">
        <v>36</v>
      </c>
      <c r="G7" s="16" t="s">
        <v>31</v>
      </c>
      <c r="H7" s="16" t="s">
        <v>46</v>
      </c>
      <c r="I7" s="16" t="s">
        <v>47</v>
      </c>
      <c r="J7" s="16" t="s">
        <v>34</v>
      </c>
      <c r="K7" s="16" t="s">
        <v>39</v>
      </c>
      <c r="L7" s="16" t="s">
        <v>20</v>
      </c>
      <c r="O7"/>
      <c r="P7"/>
    </row>
    <row r="8" spans="1:16" x14ac:dyDescent="0.25">
      <c r="A8" s="16" t="s">
        <v>48</v>
      </c>
      <c r="B8" s="13">
        <v>45716</v>
      </c>
      <c r="C8" s="13">
        <v>45716</v>
      </c>
      <c r="D8" s="16" t="s">
        <v>49</v>
      </c>
      <c r="E8" s="16" t="s">
        <v>14</v>
      </c>
      <c r="F8" s="16" t="s">
        <v>50</v>
      </c>
      <c r="G8" s="16" t="s">
        <v>42</v>
      </c>
      <c r="H8" s="16" t="s">
        <v>51</v>
      </c>
      <c r="I8" s="16" t="s">
        <v>52</v>
      </c>
      <c r="J8" s="16" t="s">
        <v>18</v>
      </c>
      <c r="K8" s="16" t="s">
        <v>19</v>
      </c>
      <c r="L8" s="16" t="s">
        <v>39</v>
      </c>
      <c r="O8"/>
      <c r="P8"/>
    </row>
    <row r="9" spans="1:16" x14ac:dyDescent="0.25">
      <c r="A9" s="16" t="s">
        <v>53</v>
      </c>
      <c r="B9" s="13">
        <v>45934</v>
      </c>
      <c r="C9" s="13">
        <v>45935</v>
      </c>
      <c r="D9" s="16" t="s">
        <v>49</v>
      </c>
      <c r="E9" s="16" t="s">
        <v>29</v>
      </c>
      <c r="F9" s="16" t="s">
        <v>54</v>
      </c>
      <c r="G9" s="16" t="s">
        <v>55</v>
      </c>
      <c r="H9" s="16" t="s">
        <v>56</v>
      </c>
      <c r="I9" s="16" t="s">
        <v>33</v>
      </c>
      <c r="J9" s="16" t="s">
        <v>34</v>
      </c>
      <c r="K9" s="16" t="s">
        <v>39</v>
      </c>
      <c r="L9" s="16" t="s">
        <v>39</v>
      </c>
      <c r="O9"/>
      <c r="P9"/>
    </row>
    <row r="10" spans="1:16" x14ac:dyDescent="0.25">
      <c r="A10" s="16" t="s">
        <v>57</v>
      </c>
      <c r="B10" s="13">
        <v>45968</v>
      </c>
      <c r="C10" s="16">
        <v>45973</v>
      </c>
      <c r="D10" s="16" t="s">
        <v>13</v>
      </c>
      <c r="E10" s="16" t="s">
        <v>58</v>
      </c>
      <c r="F10" s="16" t="s">
        <v>15</v>
      </c>
      <c r="G10" s="16" t="s">
        <v>16</v>
      </c>
      <c r="H10" s="16" t="s">
        <v>59</v>
      </c>
      <c r="I10" s="16" t="s">
        <v>17</v>
      </c>
      <c r="J10" s="16" t="s">
        <v>60</v>
      </c>
      <c r="K10" s="16" t="s">
        <v>39</v>
      </c>
      <c r="L10" s="16" t="s">
        <v>19</v>
      </c>
      <c r="O10"/>
      <c r="P10"/>
    </row>
    <row r="11" spans="1:16" x14ac:dyDescent="0.25">
      <c r="A11" s="16" t="s">
        <v>61</v>
      </c>
      <c r="B11" s="13">
        <v>45688</v>
      </c>
      <c r="C11" s="13"/>
      <c r="D11" s="16" t="s">
        <v>28</v>
      </c>
      <c r="E11" s="16" t="s">
        <v>29</v>
      </c>
      <c r="F11" s="16" t="s">
        <v>22</v>
      </c>
      <c r="G11" s="16" t="s">
        <v>31</v>
      </c>
      <c r="H11" s="16" t="s">
        <v>62</v>
      </c>
      <c r="I11" s="16" t="s">
        <v>38</v>
      </c>
      <c r="J11" s="16" t="s">
        <v>60</v>
      </c>
      <c r="K11" s="16" t="s">
        <v>39</v>
      </c>
      <c r="L11" s="16" t="s">
        <v>19</v>
      </c>
      <c r="O11"/>
      <c r="P11"/>
    </row>
    <row r="12" spans="1:16" x14ac:dyDescent="0.25">
      <c r="A12" s="16" t="s">
        <v>63</v>
      </c>
      <c r="B12" s="13">
        <v>45874</v>
      </c>
      <c r="C12" s="13">
        <v>45875</v>
      </c>
      <c r="D12" s="16" t="s">
        <v>13</v>
      </c>
      <c r="E12" s="16" t="s">
        <v>14</v>
      </c>
      <c r="F12" s="16" t="s">
        <v>64</v>
      </c>
      <c r="G12" s="16" t="s">
        <v>42</v>
      </c>
      <c r="H12" s="16" t="s">
        <v>51</v>
      </c>
      <c r="I12" s="16" t="s">
        <v>17</v>
      </c>
      <c r="J12" s="16" t="s">
        <v>34</v>
      </c>
      <c r="K12" s="16" t="s">
        <v>20</v>
      </c>
      <c r="L12" s="16" t="s">
        <v>39</v>
      </c>
      <c r="O12"/>
      <c r="P12"/>
    </row>
    <row r="13" spans="1:16" x14ac:dyDescent="0.25">
      <c r="A13" s="16" t="s">
        <v>65</v>
      </c>
      <c r="B13" s="13">
        <v>45665</v>
      </c>
      <c r="C13" s="13">
        <v>45665</v>
      </c>
      <c r="D13" s="16" t="s">
        <v>49</v>
      </c>
      <c r="E13" s="16" t="s">
        <v>14</v>
      </c>
      <c r="F13" s="16" t="s">
        <v>66</v>
      </c>
      <c r="G13" s="16" t="s">
        <v>55</v>
      </c>
      <c r="H13" s="16" t="s">
        <v>59</v>
      </c>
      <c r="I13" s="16" t="s">
        <v>33</v>
      </c>
      <c r="J13" s="16" t="s">
        <v>60</v>
      </c>
      <c r="K13" s="16" t="s">
        <v>19</v>
      </c>
      <c r="L13" s="16" t="s">
        <v>39</v>
      </c>
      <c r="O13"/>
      <c r="P13"/>
    </row>
    <row r="14" spans="1:16" x14ac:dyDescent="0.25">
      <c r="A14" s="16" t="s">
        <v>67</v>
      </c>
      <c r="B14" s="13">
        <v>45954</v>
      </c>
      <c r="C14" s="13">
        <v>45956</v>
      </c>
      <c r="D14" s="16" t="s">
        <v>28</v>
      </c>
      <c r="E14" s="16" t="s">
        <v>29</v>
      </c>
      <c r="F14" s="16" t="s">
        <v>54</v>
      </c>
      <c r="G14" s="16" t="s">
        <v>55</v>
      </c>
      <c r="H14" s="16"/>
      <c r="I14" s="16" t="s">
        <v>25</v>
      </c>
      <c r="J14" s="16" t="s">
        <v>34</v>
      </c>
      <c r="K14" s="16" t="s">
        <v>19</v>
      </c>
      <c r="L14" s="16" t="s">
        <v>20</v>
      </c>
      <c r="O14"/>
      <c r="P14"/>
    </row>
    <row r="15" spans="1:16" x14ac:dyDescent="0.25">
      <c r="A15" s="16" t="s">
        <v>68</v>
      </c>
      <c r="B15" s="13">
        <v>45956</v>
      </c>
      <c r="C15" s="13">
        <v>45957</v>
      </c>
      <c r="D15" s="16" t="s">
        <v>49</v>
      </c>
      <c r="E15" s="16" t="s">
        <v>14</v>
      </c>
      <c r="F15" s="16" t="s">
        <v>36</v>
      </c>
      <c r="G15" s="16" t="s">
        <v>31</v>
      </c>
      <c r="H15" s="16" t="s">
        <v>46</v>
      </c>
      <c r="I15" s="16" t="s">
        <v>69</v>
      </c>
      <c r="J15" s="16" t="s">
        <v>26</v>
      </c>
      <c r="K15" s="16" t="s">
        <v>19</v>
      </c>
      <c r="L15" s="16" t="s">
        <v>39</v>
      </c>
      <c r="O15"/>
      <c r="P15"/>
    </row>
    <row r="16" spans="1:16" x14ac:dyDescent="0.25">
      <c r="A16" s="16" t="s">
        <v>70</v>
      </c>
      <c r="B16" s="13">
        <v>45836</v>
      </c>
      <c r="C16" s="13">
        <v>45839</v>
      </c>
      <c r="D16" s="16" t="s">
        <v>13</v>
      </c>
      <c r="E16" s="16" t="s">
        <v>14</v>
      </c>
      <c r="F16" s="16" t="s">
        <v>54</v>
      </c>
      <c r="G16" s="16" t="s">
        <v>23</v>
      </c>
      <c r="H16" s="16" t="s">
        <v>24</v>
      </c>
      <c r="I16" s="16" t="s">
        <v>33</v>
      </c>
      <c r="J16" s="16" t="s">
        <v>60</v>
      </c>
      <c r="K16" s="16" t="s">
        <v>39</v>
      </c>
      <c r="L16" s="16" t="s">
        <v>39</v>
      </c>
      <c r="O16"/>
      <c r="P16"/>
    </row>
    <row r="17" spans="1:16" x14ac:dyDescent="0.25">
      <c r="A17" s="16" t="s">
        <v>71</v>
      </c>
      <c r="B17" s="13">
        <v>45762</v>
      </c>
      <c r="C17" s="13">
        <v>45768</v>
      </c>
      <c r="D17" s="16" t="s">
        <v>45</v>
      </c>
      <c r="E17" s="16" t="s">
        <v>14</v>
      </c>
      <c r="F17" s="16" t="s">
        <v>50</v>
      </c>
      <c r="G17" s="16" t="s">
        <v>23</v>
      </c>
      <c r="H17" s="16" t="s">
        <v>59</v>
      </c>
      <c r="I17" s="16" t="s">
        <v>47</v>
      </c>
      <c r="J17" s="16" t="s">
        <v>18</v>
      </c>
      <c r="K17" s="16" t="s">
        <v>19</v>
      </c>
      <c r="L17" s="16" t="s">
        <v>19</v>
      </c>
      <c r="O17"/>
      <c r="P17" t="s">
        <v>635</v>
      </c>
    </row>
    <row r="18" spans="1:16" x14ac:dyDescent="0.25">
      <c r="A18" s="16" t="s">
        <v>72</v>
      </c>
      <c r="B18" s="13">
        <v>46011</v>
      </c>
      <c r="C18" s="13">
        <v>46020</v>
      </c>
      <c r="D18" s="16" t="s">
        <v>49</v>
      </c>
      <c r="E18" s="16" t="s">
        <v>14</v>
      </c>
      <c r="F18" s="16" t="s">
        <v>54</v>
      </c>
      <c r="G18" s="16" t="s">
        <v>55</v>
      </c>
      <c r="H18" s="16" t="s">
        <v>73</v>
      </c>
      <c r="I18" s="16" t="s">
        <v>17</v>
      </c>
      <c r="J18" s="16" t="s">
        <v>18</v>
      </c>
      <c r="K18" s="16" t="s">
        <v>20</v>
      </c>
      <c r="L18" s="16" t="s">
        <v>20</v>
      </c>
      <c r="O18"/>
      <c r="P18"/>
    </row>
    <row r="19" spans="1:16" x14ac:dyDescent="0.25">
      <c r="A19" s="16" t="s">
        <v>74</v>
      </c>
      <c r="B19" s="13">
        <v>45779</v>
      </c>
      <c r="C19" s="16">
        <v>45780</v>
      </c>
      <c r="D19" s="16" t="s">
        <v>28</v>
      </c>
      <c r="E19" s="16" t="s">
        <v>58</v>
      </c>
      <c r="F19" s="16" t="s">
        <v>50</v>
      </c>
      <c r="G19" s="16" t="s">
        <v>42</v>
      </c>
      <c r="H19" s="16" t="s">
        <v>51</v>
      </c>
      <c r="I19" s="16" t="s">
        <v>25</v>
      </c>
      <c r="J19" s="16" t="s">
        <v>26</v>
      </c>
      <c r="K19" s="16" t="s">
        <v>39</v>
      </c>
      <c r="L19" s="16" t="s">
        <v>19</v>
      </c>
      <c r="O19"/>
      <c r="P19"/>
    </row>
    <row r="20" spans="1:16" x14ac:dyDescent="0.25">
      <c r="A20" s="16" t="s">
        <v>75</v>
      </c>
      <c r="B20" s="12">
        <v>45774</v>
      </c>
      <c r="D20" s="16" t="s">
        <v>49</v>
      </c>
      <c r="E20" s="16" t="s">
        <v>76</v>
      </c>
      <c r="F20" s="16" t="s">
        <v>22</v>
      </c>
      <c r="G20" s="16" t="s">
        <v>31</v>
      </c>
      <c r="H20" s="16" t="s">
        <v>77</v>
      </c>
      <c r="I20" s="16" t="s">
        <v>69</v>
      </c>
      <c r="J20" s="16" t="s">
        <v>18</v>
      </c>
      <c r="K20" s="16" t="s">
        <v>39</v>
      </c>
      <c r="L20" s="16" t="s">
        <v>19</v>
      </c>
      <c r="O20"/>
      <c r="P20"/>
    </row>
    <row r="21" spans="1:16" x14ac:dyDescent="0.25">
      <c r="A21" s="16" t="s">
        <v>78</v>
      </c>
      <c r="B21" s="13">
        <v>45793</v>
      </c>
      <c r="C21" s="13"/>
      <c r="D21" s="16" t="s">
        <v>45</v>
      </c>
      <c r="E21" s="16" t="s">
        <v>29</v>
      </c>
      <c r="F21" s="16" t="s">
        <v>54</v>
      </c>
      <c r="G21" s="16" t="s">
        <v>42</v>
      </c>
      <c r="H21" s="16" t="s">
        <v>79</v>
      </c>
      <c r="I21" s="16" t="s">
        <v>38</v>
      </c>
      <c r="J21" s="16" t="s">
        <v>60</v>
      </c>
      <c r="K21" s="16" t="s">
        <v>20</v>
      </c>
      <c r="L21" s="16" t="s">
        <v>20</v>
      </c>
      <c r="O21"/>
      <c r="P21"/>
    </row>
    <row r="22" spans="1:16" x14ac:dyDescent="0.25">
      <c r="A22" s="16" t="s">
        <v>80</v>
      </c>
      <c r="B22" s="13">
        <v>45977</v>
      </c>
      <c r="C22" s="13">
        <v>45981</v>
      </c>
      <c r="D22" s="16" t="s">
        <v>49</v>
      </c>
      <c r="E22" s="16" t="s">
        <v>14</v>
      </c>
      <c r="F22" s="16" t="s">
        <v>66</v>
      </c>
      <c r="G22" s="16" t="s">
        <v>55</v>
      </c>
      <c r="H22" s="16" t="s">
        <v>59</v>
      </c>
      <c r="I22" s="16" t="s">
        <v>47</v>
      </c>
      <c r="J22" s="16" t="s">
        <v>34</v>
      </c>
      <c r="K22" s="16" t="s">
        <v>39</v>
      </c>
      <c r="L22" s="16" t="s">
        <v>39</v>
      </c>
      <c r="O22"/>
      <c r="P22"/>
    </row>
    <row r="23" spans="1:16" x14ac:dyDescent="0.25">
      <c r="A23" s="16" t="s">
        <v>81</v>
      </c>
      <c r="B23" s="13">
        <v>45954</v>
      </c>
      <c r="C23" s="13">
        <v>45957</v>
      </c>
      <c r="D23" s="16" t="s">
        <v>49</v>
      </c>
      <c r="E23" s="16" t="s">
        <v>14</v>
      </c>
      <c r="F23" s="16" t="s">
        <v>54</v>
      </c>
      <c r="G23" s="16"/>
      <c r="H23" s="16" t="s">
        <v>46</v>
      </c>
      <c r="I23" s="16" t="s">
        <v>17</v>
      </c>
      <c r="J23" s="16" t="s">
        <v>18</v>
      </c>
      <c r="K23" s="16" t="s">
        <v>39</v>
      </c>
      <c r="L23" s="16" t="s">
        <v>19</v>
      </c>
      <c r="O23"/>
      <c r="P23"/>
    </row>
    <row r="24" spans="1:16" x14ac:dyDescent="0.25">
      <c r="A24" s="16" t="s">
        <v>82</v>
      </c>
      <c r="B24" s="13">
        <v>45901</v>
      </c>
      <c r="C24" s="13">
        <v>45904</v>
      </c>
      <c r="D24" s="16" t="s">
        <v>13</v>
      </c>
      <c r="E24" s="16" t="s">
        <v>29</v>
      </c>
      <c r="F24" s="16" t="s">
        <v>41</v>
      </c>
      <c r="G24" s="16" t="s">
        <v>16</v>
      </c>
      <c r="H24" s="16" t="s">
        <v>79</v>
      </c>
      <c r="I24" s="16" t="s">
        <v>38</v>
      </c>
      <c r="J24" s="16" t="s">
        <v>26</v>
      </c>
      <c r="K24" s="16" t="s">
        <v>39</v>
      </c>
      <c r="L24" s="16" t="s">
        <v>19</v>
      </c>
      <c r="O24"/>
      <c r="P24"/>
    </row>
    <row r="25" spans="1:16" x14ac:dyDescent="0.25">
      <c r="A25" s="16" t="s">
        <v>83</v>
      </c>
      <c r="B25" s="13">
        <v>45720</v>
      </c>
      <c r="C25" s="13">
        <v>45727</v>
      </c>
      <c r="D25" s="16" t="s">
        <v>45</v>
      </c>
      <c r="E25" s="16" t="s">
        <v>29</v>
      </c>
      <c r="F25" s="16" t="s">
        <v>22</v>
      </c>
      <c r="G25" s="16" t="s">
        <v>31</v>
      </c>
      <c r="H25" s="16" t="s">
        <v>56</v>
      </c>
      <c r="I25" s="16" t="s">
        <v>33</v>
      </c>
      <c r="J25" s="16" t="s">
        <v>18</v>
      </c>
      <c r="K25" s="16" t="s">
        <v>20</v>
      </c>
      <c r="L25" s="16" t="s">
        <v>39</v>
      </c>
      <c r="O25"/>
      <c r="P25"/>
    </row>
    <row r="26" spans="1:16" x14ac:dyDescent="0.25">
      <c r="A26" s="16" t="s">
        <v>84</v>
      </c>
      <c r="B26" s="13">
        <v>45924</v>
      </c>
      <c r="C26" s="13">
        <v>45925</v>
      </c>
      <c r="D26" s="16" t="s">
        <v>49</v>
      </c>
      <c r="E26" s="16" t="s">
        <v>85</v>
      </c>
      <c r="F26" s="16" t="s">
        <v>22</v>
      </c>
      <c r="G26" s="16" t="s">
        <v>16</v>
      </c>
      <c r="H26" s="16" t="s">
        <v>51</v>
      </c>
      <c r="I26" s="16" t="s">
        <v>38</v>
      </c>
      <c r="J26" s="16" t="s">
        <v>34</v>
      </c>
      <c r="K26" s="16" t="s">
        <v>20</v>
      </c>
      <c r="L26" s="16" t="s">
        <v>20</v>
      </c>
      <c r="O26"/>
      <c r="P26"/>
    </row>
    <row r="27" spans="1:16" x14ac:dyDescent="0.25">
      <c r="A27" s="16" t="s">
        <v>86</v>
      </c>
      <c r="B27" s="12">
        <v>45873</v>
      </c>
      <c r="C27" s="13">
        <v>45874</v>
      </c>
      <c r="D27" s="16" t="s">
        <v>45</v>
      </c>
      <c r="E27" s="16" t="s">
        <v>29</v>
      </c>
      <c r="F27" s="16" t="s">
        <v>36</v>
      </c>
      <c r="G27" s="16" t="s">
        <v>42</v>
      </c>
      <c r="H27" s="16" t="s">
        <v>24</v>
      </c>
      <c r="I27" s="16" t="s">
        <v>38</v>
      </c>
      <c r="J27" s="16" t="s">
        <v>26</v>
      </c>
      <c r="K27" s="16" t="s">
        <v>39</v>
      </c>
      <c r="L27" s="16" t="s">
        <v>20</v>
      </c>
      <c r="O27"/>
      <c r="P27"/>
    </row>
    <row r="28" spans="1:16" x14ac:dyDescent="0.25">
      <c r="A28" s="16" t="s">
        <v>87</v>
      </c>
      <c r="B28" s="13">
        <v>45857</v>
      </c>
      <c r="C28" s="13">
        <v>45860</v>
      </c>
      <c r="D28" s="16" t="s">
        <v>49</v>
      </c>
      <c r="E28" s="16" t="s">
        <v>88</v>
      </c>
      <c r="F28" s="16" t="s">
        <v>22</v>
      </c>
      <c r="G28" s="16" t="s">
        <v>55</v>
      </c>
      <c r="H28" s="16" t="s">
        <v>32</v>
      </c>
      <c r="I28" s="16" t="s">
        <v>17</v>
      </c>
      <c r="J28" s="16" t="s">
        <v>34</v>
      </c>
      <c r="K28" s="16" t="s">
        <v>20</v>
      </c>
      <c r="L28" s="16" t="s">
        <v>19</v>
      </c>
      <c r="O28"/>
      <c r="P28"/>
    </row>
    <row r="29" spans="1:16" x14ac:dyDescent="0.25">
      <c r="A29" s="16" t="s">
        <v>89</v>
      </c>
      <c r="B29" s="13">
        <v>45852</v>
      </c>
      <c r="C29" s="13">
        <v>45854</v>
      </c>
      <c r="D29" s="16" t="s">
        <v>49</v>
      </c>
      <c r="E29" s="16" t="s">
        <v>29</v>
      </c>
      <c r="F29" s="16" t="s">
        <v>15</v>
      </c>
      <c r="G29" s="16" t="s">
        <v>23</v>
      </c>
      <c r="H29" s="16" t="s">
        <v>43</v>
      </c>
      <c r="I29" s="16" t="s">
        <v>25</v>
      </c>
      <c r="J29" s="16" t="s">
        <v>34</v>
      </c>
      <c r="K29" s="16" t="s">
        <v>39</v>
      </c>
      <c r="L29" s="16" t="s">
        <v>19</v>
      </c>
      <c r="O29"/>
      <c r="P29"/>
    </row>
    <row r="30" spans="1:16" x14ac:dyDescent="0.25">
      <c r="A30" s="16" t="s">
        <v>90</v>
      </c>
      <c r="B30" s="13">
        <v>45769</v>
      </c>
      <c r="C30" s="13">
        <v>45769</v>
      </c>
      <c r="D30" s="16" t="s">
        <v>13</v>
      </c>
      <c r="E30" s="16" t="s">
        <v>14</v>
      </c>
      <c r="F30" s="16" t="s">
        <v>91</v>
      </c>
      <c r="G30" s="16" t="s">
        <v>42</v>
      </c>
      <c r="H30" s="16" t="s">
        <v>92</v>
      </c>
      <c r="I30" s="16" t="s">
        <v>52</v>
      </c>
      <c r="J30" s="16" t="s">
        <v>34</v>
      </c>
      <c r="K30" s="16" t="s">
        <v>20</v>
      </c>
      <c r="L30" s="16" t="s">
        <v>39</v>
      </c>
      <c r="O30"/>
      <c r="P30"/>
    </row>
    <row r="31" spans="1:16" x14ac:dyDescent="0.25">
      <c r="A31" s="16" t="s">
        <v>93</v>
      </c>
      <c r="B31" s="13">
        <v>46008</v>
      </c>
      <c r="C31" s="13">
        <v>46011</v>
      </c>
      <c r="D31" s="16" t="s">
        <v>13</v>
      </c>
      <c r="E31" s="16" t="s">
        <v>29</v>
      </c>
      <c r="F31" s="16" t="s">
        <v>30</v>
      </c>
      <c r="G31" s="16" t="s">
        <v>42</v>
      </c>
      <c r="H31" s="16" t="s">
        <v>43</v>
      </c>
      <c r="I31" s="16" t="s">
        <v>47</v>
      </c>
      <c r="J31" s="16" t="s">
        <v>26</v>
      </c>
      <c r="K31" s="16" t="s">
        <v>39</v>
      </c>
      <c r="L31" s="16" t="s">
        <v>20</v>
      </c>
      <c r="O31"/>
      <c r="P31"/>
    </row>
    <row r="32" spans="1:16" x14ac:dyDescent="0.25">
      <c r="A32" s="16" t="s">
        <v>94</v>
      </c>
      <c r="B32" s="12">
        <v>45991</v>
      </c>
      <c r="C32" s="13">
        <v>45991</v>
      </c>
      <c r="D32" s="16" t="s">
        <v>49</v>
      </c>
      <c r="E32" s="16" t="s">
        <v>29</v>
      </c>
      <c r="F32" s="16" t="s">
        <v>54</v>
      </c>
      <c r="G32" s="16" t="s">
        <v>42</v>
      </c>
      <c r="H32" s="16" t="s">
        <v>95</v>
      </c>
      <c r="I32" s="16" t="s">
        <v>38</v>
      </c>
      <c r="J32" s="16" t="s">
        <v>34</v>
      </c>
      <c r="K32" s="16" t="s">
        <v>20</v>
      </c>
      <c r="L32" s="16" t="s">
        <v>19</v>
      </c>
      <c r="O32"/>
      <c r="P32"/>
    </row>
    <row r="33" spans="1:16" x14ac:dyDescent="0.25">
      <c r="A33" s="16" t="s">
        <v>96</v>
      </c>
      <c r="B33" s="12">
        <v>45790</v>
      </c>
      <c r="C33" s="13">
        <v>45793</v>
      </c>
      <c r="D33" s="16" t="s">
        <v>13</v>
      </c>
      <c r="E33" s="16" t="s">
        <v>29</v>
      </c>
      <c r="F33" s="16" t="s">
        <v>50</v>
      </c>
      <c r="G33" s="16" t="s">
        <v>16</v>
      </c>
      <c r="H33" s="16" t="s">
        <v>79</v>
      </c>
      <c r="I33" s="16" t="s">
        <v>69</v>
      </c>
      <c r="J33" s="16" t="s">
        <v>26</v>
      </c>
      <c r="K33" s="16" t="s">
        <v>39</v>
      </c>
      <c r="L33" s="16" t="s">
        <v>39</v>
      </c>
      <c r="O33"/>
      <c r="P33"/>
    </row>
    <row r="34" spans="1:16" x14ac:dyDescent="0.25">
      <c r="A34" s="16" t="s">
        <v>97</v>
      </c>
      <c r="B34" s="13">
        <v>45900</v>
      </c>
      <c r="C34" s="16">
        <v>45900</v>
      </c>
      <c r="D34" s="16" t="s">
        <v>13</v>
      </c>
      <c r="E34" s="16" t="s">
        <v>98</v>
      </c>
      <c r="F34" s="16" t="s">
        <v>50</v>
      </c>
      <c r="G34" s="16" t="s">
        <v>42</v>
      </c>
      <c r="H34" s="16" t="s">
        <v>95</v>
      </c>
      <c r="I34" s="16" t="s">
        <v>38</v>
      </c>
      <c r="J34" s="16" t="s">
        <v>18</v>
      </c>
      <c r="K34" s="16" t="s">
        <v>20</v>
      </c>
      <c r="L34" s="16" t="s">
        <v>39</v>
      </c>
      <c r="O34"/>
      <c r="P34"/>
    </row>
    <row r="35" spans="1:16" x14ac:dyDescent="0.25">
      <c r="A35" s="16" t="s">
        <v>99</v>
      </c>
      <c r="B35" s="13">
        <v>45842</v>
      </c>
      <c r="C35" s="13"/>
      <c r="D35" s="16" t="s">
        <v>49</v>
      </c>
      <c r="E35" s="16" t="s">
        <v>14</v>
      </c>
      <c r="F35" s="16" t="s">
        <v>36</v>
      </c>
      <c r="G35" s="16" t="s">
        <v>31</v>
      </c>
      <c r="H35" s="16" t="s">
        <v>77</v>
      </c>
      <c r="I35" s="16" t="s">
        <v>47</v>
      </c>
      <c r="J35" s="16" t="s">
        <v>18</v>
      </c>
      <c r="K35" s="16" t="s">
        <v>20</v>
      </c>
      <c r="L35" s="16" t="s">
        <v>20</v>
      </c>
      <c r="O35"/>
      <c r="P35"/>
    </row>
    <row r="36" spans="1:16" x14ac:dyDescent="0.25">
      <c r="A36" s="16" t="s">
        <v>100</v>
      </c>
      <c r="B36" s="13">
        <v>45787</v>
      </c>
      <c r="C36" s="13">
        <v>45790</v>
      </c>
      <c r="D36" s="16" t="s">
        <v>13</v>
      </c>
      <c r="E36" s="16" t="s">
        <v>14</v>
      </c>
      <c r="F36" s="16" t="s">
        <v>30</v>
      </c>
      <c r="G36" s="16" t="s">
        <v>16</v>
      </c>
      <c r="H36" s="16" t="s">
        <v>95</v>
      </c>
      <c r="I36" s="16" t="s">
        <v>69</v>
      </c>
      <c r="J36" s="16" t="s">
        <v>60</v>
      </c>
      <c r="K36" s="16" t="s">
        <v>39</v>
      </c>
      <c r="L36" s="16" t="s">
        <v>20</v>
      </c>
      <c r="O36"/>
      <c r="P36"/>
    </row>
    <row r="37" spans="1:16" x14ac:dyDescent="0.25">
      <c r="A37" s="16" t="s">
        <v>101</v>
      </c>
      <c r="B37" s="13">
        <v>45959</v>
      </c>
      <c r="C37" s="13">
        <v>45964</v>
      </c>
      <c r="D37" s="16" t="s">
        <v>45</v>
      </c>
      <c r="E37" s="16" t="s">
        <v>14</v>
      </c>
      <c r="F37" s="16" t="s">
        <v>30</v>
      </c>
      <c r="G37" s="16" t="s">
        <v>31</v>
      </c>
      <c r="H37" s="16" t="s">
        <v>79</v>
      </c>
      <c r="I37" s="16" t="s">
        <v>38</v>
      </c>
      <c r="J37" s="16" t="s">
        <v>60</v>
      </c>
      <c r="K37" s="16" t="s">
        <v>20</v>
      </c>
      <c r="L37" s="16" t="s">
        <v>19</v>
      </c>
      <c r="O37"/>
      <c r="P37"/>
    </row>
    <row r="38" spans="1:16" x14ac:dyDescent="0.25">
      <c r="A38" s="16" t="s">
        <v>102</v>
      </c>
      <c r="B38" s="13">
        <v>46017</v>
      </c>
      <c r="C38" s="13">
        <v>46018</v>
      </c>
      <c r="D38" s="16" t="s">
        <v>49</v>
      </c>
      <c r="E38" s="16" t="s">
        <v>14</v>
      </c>
      <c r="F38" s="16" t="s">
        <v>103</v>
      </c>
      <c r="G38" s="16" t="s">
        <v>16</v>
      </c>
      <c r="H38" s="16" t="s">
        <v>62</v>
      </c>
      <c r="I38" s="16" t="s">
        <v>38</v>
      </c>
      <c r="J38" s="16" t="s">
        <v>18</v>
      </c>
      <c r="K38" s="16" t="s">
        <v>20</v>
      </c>
      <c r="L38" s="16" t="s">
        <v>39</v>
      </c>
      <c r="O38"/>
      <c r="P38"/>
    </row>
    <row r="39" spans="1:16" x14ac:dyDescent="0.25">
      <c r="A39" s="16" t="s">
        <v>104</v>
      </c>
      <c r="B39" s="12">
        <v>45864</v>
      </c>
      <c r="C39" s="13">
        <v>45865</v>
      </c>
      <c r="D39" s="16" t="s">
        <v>28</v>
      </c>
      <c r="E39" s="16" t="s">
        <v>14</v>
      </c>
      <c r="F39" s="16" t="s">
        <v>15</v>
      </c>
      <c r="G39" s="16" t="s">
        <v>42</v>
      </c>
      <c r="H39" s="16" t="s">
        <v>51</v>
      </c>
      <c r="I39" s="16" t="s">
        <v>69</v>
      </c>
      <c r="J39" s="16" t="s">
        <v>26</v>
      </c>
      <c r="K39" s="16" t="s">
        <v>20</v>
      </c>
      <c r="L39" s="16" t="s">
        <v>39</v>
      </c>
      <c r="O39"/>
      <c r="P39"/>
    </row>
    <row r="40" spans="1:16" x14ac:dyDescent="0.25">
      <c r="A40" s="16" t="s">
        <v>105</v>
      </c>
      <c r="B40" s="13">
        <v>45881</v>
      </c>
      <c r="C40" s="13">
        <v>45882</v>
      </c>
      <c r="D40" s="16" t="s">
        <v>13</v>
      </c>
      <c r="E40" s="16" t="s">
        <v>14</v>
      </c>
      <c r="F40" s="16" t="s">
        <v>22</v>
      </c>
      <c r="G40" s="16" t="s">
        <v>23</v>
      </c>
      <c r="H40" s="16" t="s">
        <v>106</v>
      </c>
      <c r="I40" s="16" t="s">
        <v>25</v>
      </c>
      <c r="J40" s="16" t="s">
        <v>60</v>
      </c>
      <c r="K40" s="16" t="s">
        <v>19</v>
      </c>
      <c r="L40" s="16" t="s">
        <v>19</v>
      </c>
      <c r="O40"/>
      <c r="P40"/>
    </row>
    <row r="41" spans="1:16" x14ac:dyDescent="0.25">
      <c r="A41" s="16" t="s">
        <v>107</v>
      </c>
      <c r="B41" s="13">
        <v>45864</v>
      </c>
      <c r="C41" s="16">
        <v>45871</v>
      </c>
      <c r="D41" s="16" t="s">
        <v>45</v>
      </c>
      <c r="E41" s="16" t="s">
        <v>58</v>
      </c>
      <c r="F41" s="16" t="s">
        <v>15</v>
      </c>
      <c r="G41" s="16" t="s">
        <v>31</v>
      </c>
      <c r="H41" s="16" t="s">
        <v>106</v>
      </c>
      <c r="I41" s="16" t="s">
        <v>38</v>
      </c>
      <c r="J41" s="16" t="s">
        <v>18</v>
      </c>
      <c r="K41" s="16" t="s">
        <v>20</v>
      </c>
      <c r="L41" s="16" t="s">
        <v>39</v>
      </c>
      <c r="O41"/>
      <c r="P41"/>
    </row>
    <row r="42" spans="1:16" x14ac:dyDescent="0.25">
      <c r="A42" s="16" t="s">
        <v>108</v>
      </c>
      <c r="B42" s="13">
        <v>46021</v>
      </c>
      <c r="C42" s="13"/>
      <c r="D42" s="16" t="s">
        <v>45</v>
      </c>
      <c r="E42" s="16" t="s">
        <v>29</v>
      </c>
      <c r="F42" s="16" t="s">
        <v>50</v>
      </c>
      <c r="G42" s="16" t="s">
        <v>42</v>
      </c>
      <c r="H42" s="16" t="s">
        <v>24</v>
      </c>
      <c r="I42" s="16" t="s">
        <v>69</v>
      </c>
      <c r="J42" s="16" t="s">
        <v>18</v>
      </c>
      <c r="K42" s="16" t="s">
        <v>20</v>
      </c>
      <c r="L42" s="16" t="s">
        <v>20</v>
      </c>
      <c r="O42"/>
      <c r="P42"/>
    </row>
    <row r="43" spans="1:16" x14ac:dyDescent="0.25">
      <c r="A43" s="16" t="s">
        <v>109</v>
      </c>
      <c r="B43" s="13">
        <v>45732</v>
      </c>
      <c r="C43" s="16">
        <v>45735</v>
      </c>
      <c r="D43" s="16" t="s">
        <v>28</v>
      </c>
      <c r="E43" s="16" t="s">
        <v>58</v>
      </c>
      <c r="F43" s="16" t="s">
        <v>54</v>
      </c>
      <c r="G43" s="16" t="s">
        <v>42</v>
      </c>
      <c r="H43" s="16" t="s">
        <v>110</v>
      </c>
      <c r="I43" s="16" t="s">
        <v>17</v>
      </c>
      <c r="J43" s="16" t="s">
        <v>26</v>
      </c>
      <c r="K43" s="16" t="s">
        <v>39</v>
      </c>
      <c r="L43" s="16" t="s">
        <v>20</v>
      </c>
      <c r="O43"/>
      <c r="P43"/>
    </row>
    <row r="44" spans="1:16" x14ac:dyDescent="0.25">
      <c r="A44" s="16" t="s">
        <v>111</v>
      </c>
      <c r="B44" s="13">
        <v>46015</v>
      </c>
      <c r="D44" s="16" t="s">
        <v>13</v>
      </c>
      <c r="E44" s="16" t="s">
        <v>76</v>
      </c>
      <c r="F44" s="16" t="s">
        <v>66</v>
      </c>
      <c r="G44" s="16" t="s">
        <v>42</v>
      </c>
      <c r="H44" s="16" t="s">
        <v>37</v>
      </c>
      <c r="I44" s="16" t="s">
        <v>69</v>
      </c>
      <c r="J44" s="16" t="s">
        <v>18</v>
      </c>
      <c r="K44" s="16" t="s">
        <v>19</v>
      </c>
      <c r="L44" s="16" t="s">
        <v>39</v>
      </c>
      <c r="O44"/>
      <c r="P44"/>
    </row>
    <row r="45" spans="1:16" x14ac:dyDescent="0.25">
      <c r="A45" s="16" t="s">
        <v>112</v>
      </c>
      <c r="B45" s="13">
        <v>45891</v>
      </c>
      <c r="C45" s="13"/>
      <c r="D45" s="16" t="s">
        <v>49</v>
      </c>
      <c r="E45" s="16" t="s">
        <v>14</v>
      </c>
      <c r="F45" s="16" t="s">
        <v>15</v>
      </c>
      <c r="G45" s="16" t="s">
        <v>55</v>
      </c>
      <c r="H45" s="16" t="s">
        <v>92</v>
      </c>
      <c r="I45" s="16" t="s">
        <v>33</v>
      </c>
      <c r="J45" s="16" t="s">
        <v>18</v>
      </c>
      <c r="K45" s="16" t="s">
        <v>19</v>
      </c>
      <c r="L45" s="16" t="s">
        <v>19</v>
      </c>
      <c r="O45"/>
      <c r="P45"/>
    </row>
    <row r="46" spans="1:16" x14ac:dyDescent="0.25">
      <c r="A46" s="16" t="s">
        <v>113</v>
      </c>
      <c r="B46" s="13">
        <v>45778</v>
      </c>
      <c r="C46" s="16">
        <v>45781</v>
      </c>
      <c r="D46" s="16" t="s">
        <v>13</v>
      </c>
      <c r="E46" s="16" t="s">
        <v>58</v>
      </c>
      <c r="F46" s="16" t="s">
        <v>30</v>
      </c>
      <c r="G46" s="16" t="s">
        <v>42</v>
      </c>
      <c r="H46" s="16" t="s">
        <v>95</v>
      </c>
      <c r="I46" s="16" t="s">
        <v>69</v>
      </c>
      <c r="J46" s="16" t="s">
        <v>34</v>
      </c>
      <c r="K46" s="16" t="s">
        <v>39</v>
      </c>
      <c r="L46" s="16" t="s">
        <v>20</v>
      </c>
      <c r="O46"/>
      <c r="P46"/>
    </row>
    <row r="47" spans="1:16" x14ac:dyDescent="0.25">
      <c r="A47" s="16" t="s">
        <v>114</v>
      </c>
      <c r="B47" s="13">
        <v>45745</v>
      </c>
      <c r="C47" s="13"/>
      <c r="D47" s="16" t="s">
        <v>13</v>
      </c>
      <c r="E47" s="16" t="s">
        <v>29</v>
      </c>
      <c r="F47" s="16" t="s">
        <v>41</v>
      </c>
      <c r="G47" s="16" t="s">
        <v>23</v>
      </c>
      <c r="H47" s="16"/>
      <c r="I47" s="16" t="s">
        <v>69</v>
      </c>
      <c r="J47" s="16" t="s">
        <v>60</v>
      </c>
      <c r="K47" s="16" t="s">
        <v>19</v>
      </c>
      <c r="L47" s="16" t="s">
        <v>19</v>
      </c>
      <c r="O47"/>
      <c r="P47"/>
    </row>
    <row r="48" spans="1:16" x14ac:dyDescent="0.25">
      <c r="A48" s="16" t="s">
        <v>115</v>
      </c>
      <c r="B48" s="13">
        <v>45958</v>
      </c>
      <c r="C48" s="13">
        <v>45958</v>
      </c>
      <c r="D48" s="16" t="s">
        <v>13</v>
      </c>
      <c r="E48" s="16" t="s">
        <v>14</v>
      </c>
      <c r="F48" s="16" t="s">
        <v>22</v>
      </c>
      <c r="G48" s="16" t="s">
        <v>31</v>
      </c>
      <c r="H48" s="16" t="s">
        <v>73</v>
      </c>
      <c r="I48" s="16" t="s">
        <v>25</v>
      </c>
      <c r="J48" s="16" t="s">
        <v>26</v>
      </c>
      <c r="K48" s="16" t="s">
        <v>19</v>
      </c>
      <c r="L48" s="16" t="s">
        <v>39</v>
      </c>
      <c r="O48"/>
      <c r="P48"/>
    </row>
    <row r="49" spans="1:16" x14ac:dyDescent="0.25">
      <c r="A49" s="16" t="s">
        <v>116</v>
      </c>
      <c r="B49" s="13">
        <v>46019</v>
      </c>
      <c r="C49" s="13">
        <v>46023</v>
      </c>
      <c r="D49" s="16" t="s">
        <v>13</v>
      </c>
      <c r="E49" s="16" t="s">
        <v>29</v>
      </c>
      <c r="F49" s="16" t="s">
        <v>50</v>
      </c>
      <c r="G49" s="16" t="s">
        <v>23</v>
      </c>
      <c r="H49" s="16" t="s">
        <v>37</v>
      </c>
      <c r="I49" s="16" t="s">
        <v>25</v>
      </c>
      <c r="J49" s="16" t="s">
        <v>34</v>
      </c>
      <c r="K49" s="16" t="s">
        <v>39</v>
      </c>
      <c r="L49" s="16" t="s">
        <v>19</v>
      </c>
      <c r="O49"/>
      <c r="P49"/>
    </row>
    <row r="50" spans="1:16" x14ac:dyDescent="0.25">
      <c r="A50" s="16" t="s">
        <v>117</v>
      </c>
      <c r="B50" s="13">
        <v>45683</v>
      </c>
      <c r="C50" s="13">
        <v>45687</v>
      </c>
      <c r="D50" s="16" t="s">
        <v>45</v>
      </c>
      <c r="E50" s="16" t="s">
        <v>14</v>
      </c>
      <c r="F50" s="16" t="s">
        <v>22</v>
      </c>
      <c r="G50" s="16" t="s">
        <v>23</v>
      </c>
      <c r="H50" s="16" t="s">
        <v>59</v>
      </c>
      <c r="I50" s="16" t="s">
        <v>33</v>
      </c>
      <c r="J50" s="16" t="s">
        <v>34</v>
      </c>
      <c r="K50" s="16" t="s">
        <v>19</v>
      </c>
      <c r="L50" s="16" t="s">
        <v>39</v>
      </c>
      <c r="O50"/>
      <c r="P50"/>
    </row>
    <row r="51" spans="1:16" x14ac:dyDescent="0.25">
      <c r="A51" s="16" t="s">
        <v>118</v>
      </c>
      <c r="B51" s="13">
        <v>45809</v>
      </c>
      <c r="C51" s="13">
        <v>45810</v>
      </c>
      <c r="D51" s="16" t="s">
        <v>49</v>
      </c>
      <c r="E51" s="16" t="s">
        <v>14</v>
      </c>
      <c r="F51" s="16" t="s">
        <v>41</v>
      </c>
      <c r="G51" s="16" t="s">
        <v>23</v>
      </c>
      <c r="H51" s="16" t="s">
        <v>51</v>
      </c>
      <c r="I51" s="16" t="s">
        <v>38</v>
      </c>
      <c r="J51" s="16" t="s">
        <v>60</v>
      </c>
      <c r="K51" s="16" t="s">
        <v>20</v>
      </c>
      <c r="L51" s="16" t="s">
        <v>19</v>
      </c>
      <c r="O51"/>
      <c r="P51"/>
    </row>
    <row r="52" spans="1:16" x14ac:dyDescent="0.25">
      <c r="A52" s="16" t="s">
        <v>119</v>
      </c>
      <c r="B52" s="12">
        <v>45861</v>
      </c>
      <c r="C52" s="16">
        <v>45866</v>
      </c>
      <c r="D52" s="16" t="s">
        <v>28</v>
      </c>
      <c r="E52" s="16" t="s">
        <v>76</v>
      </c>
      <c r="F52" s="16" t="s">
        <v>30</v>
      </c>
      <c r="G52" s="16" t="s">
        <v>23</v>
      </c>
      <c r="H52" s="16" t="s">
        <v>62</v>
      </c>
      <c r="I52" s="16" t="s">
        <v>47</v>
      </c>
      <c r="J52" s="16" t="s">
        <v>18</v>
      </c>
      <c r="K52" s="16" t="s">
        <v>39</v>
      </c>
      <c r="L52" s="16" t="s">
        <v>19</v>
      </c>
      <c r="O52"/>
      <c r="P52"/>
    </row>
    <row r="53" spans="1:16" x14ac:dyDescent="0.25">
      <c r="A53" s="16" t="s">
        <v>120</v>
      </c>
      <c r="B53" s="13">
        <v>45895</v>
      </c>
      <c r="C53" s="13">
        <v>45896</v>
      </c>
      <c r="D53" s="16" t="s">
        <v>28</v>
      </c>
      <c r="E53" s="16" t="s">
        <v>29</v>
      </c>
      <c r="F53" s="16" t="s">
        <v>30</v>
      </c>
      <c r="G53" s="16" t="s">
        <v>31</v>
      </c>
      <c r="H53" s="16" t="s">
        <v>110</v>
      </c>
      <c r="I53" s="16" t="s">
        <v>69</v>
      </c>
      <c r="J53" s="16" t="s">
        <v>34</v>
      </c>
      <c r="K53" s="16" t="s">
        <v>39</v>
      </c>
      <c r="L53" s="16" t="s">
        <v>19</v>
      </c>
      <c r="O53"/>
      <c r="P53"/>
    </row>
    <row r="54" spans="1:16" x14ac:dyDescent="0.25">
      <c r="A54" s="16" t="s">
        <v>121</v>
      </c>
      <c r="B54" s="13">
        <v>45801</v>
      </c>
      <c r="D54" s="16" t="s">
        <v>28</v>
      </c>
      <c r="E54" s="16" t="s">
        <v>76</v>
      </c>
      <c r="F54" s="16" t="s">
        <v>22</v>
      </c>
      <c r="G54" s="16" t="s">
        <v>55</v>
      </c>
      <c r="H54" s="16" t="s">
        <v>77</v>
      </c>
      <c r="I54" s="16" t="s">
        <v>38</v>
      </c>
      <c r="J54" s="16" t="s">
        <v>18</v>
      </c>
      <c r="K54" s="16" t="s">
        <v>20</v>
      </c>
      <c r="L54" s="16" t="s">
        <v>19</v>
      </c>
      <c r="O54"/>
      <c r="P54"/>
    </row>
    <row r="55" spans="1:16" x14ac:dyDescent="0.25">
      <c r="A55" s="16" t="s">
        <v>122</v>
      </c>
      <c r="B55" s="12">
        <v>45985</v>
      </c>
      <c r="C55" s="13">
        <v>45986</v>
      </c>
      <c r="D55" s="16" t="s">
        <v>28</v>
      </c>
      <c r="E55" s="16" t="s">
        <v>29</v>
      </c>
      <c r="F55" s="16" t="s">
        <v>36</v>
      </c>
      <c r="G55" s="16" t="s">
        <v>42</v>
      </c>
      <c r="H55" s="16" t="s">
        <v>24</v>
      </c>
      <c r="I55" s="16" t="s">
        <v>69</v>
      </c>
      <c r="J55" s="16" t="s">
        <v>34</v>
      </c>
      <c r="K55" s="16" t="s">
        <v>39</v>
      </c>
      <c r="L55" s="16" t="s">
        <v>39</v>
      </c>
      <c r="O55"/>
      <c r="P55"/>
    </row>
    <row r="56" spans="1:16" x14ac:dyDescent="0.25">
      <c r="A56" s="16" t="s">
        <v>123</v>
      </c>
      <c r="B56" s="13">
        <v>45747</v>
      </c>
      <c r="C56" s="13"/>
      <c r="D56" s="16" t="s">
        <v>49</v>
      </c>
      <c r="E56" s="16" t="s">
        <v>29</v>
      </c>
      <c r="F56" s="16" t="s">
        <v>54</v>
      </c>
      <c r="G56" s="16" t="s">
        <v>16</v>
      </c>
      <c r="H56" s="16" t="s">
        <v>32</v>
      </c>
      <c r="I56" s="16" t="s">
        <v>38</v>
      </c>
      <c r="J56" s="16" t="s">
        <v>26</v>
      </c>
      <c r="K56" s="16" t="s">
        <v>20</v>
      </c>
      <c r="L56" s="16" t="s">
        <v>20</v>
      </c>
      <c r="O56"/>
      <c r="P56"/>
    </row>
    <row r="57" spans="1:16" x14ac:dyDescent="0.25">
      <c r="A57" s="16" t="s">
        <v>124</v>
      </c>
      <c r="B57" s="12">
        <v>45889</v>
      </c>
      <c r="C57" s="13">
        <v>45889</v>
      </c>
      <c r="D57" s="16" t="s">
        <v>45</v>
      </c>
      <c r="E57" s="16" t="s">
        <v>29</v>
      </c>
      <c r="F57" s="16" t="s">
        <v>15</v>
      </c>
      <c r="G57" s="16" t="s">
        <v>23</v>
      </c>
      <c r="H57" s="16" t="s">
        <v>51</v>
      </c>
      <c r="I57" s="16" t="s">
        <v>52</v>
      </c>
      <c r="J57" s="16" t="s">
        <v>60</v>
      </c>
      <c r="K57" s="16" t="s">
        <v>20</v>
      </c>
      <c r="L57" s="16" t="s">
        <v>20</v>
      </c>
      <c r="O57"/>
      <c r="P57"/>
    </row>
    <row r="58" spans="1:16" x14ac:dyDescent="0.25">
      <c r="A58" s="16" t="s">
        <v>125</v>
      </c>
      <c r="B58" s="13">
        <v>45982</v>
      </c>
      <c r="C58" s="13">
        <v>45984</v>
      </c>
      <c r="D58" s="16" t="s">
        <v>13</v>
      </c>
      <c r="E58" s="16" t="s">
        <v>14</v>
      </c>
      <c r="F58" s="16" t="s">
        <v>30</v>
      </c>
      <c r="G58" s="16" t="s">
        <v>16</v>
      </c>
      <c r="H58" s="16" t="s">
        <v>62</v>
      </c>
      <c r="I58" s="16" t="s">
        <v>47</v>
      </c>
      <c r="J58" s="16" t="s">
        <v>60</v>
      </c>
      <c r="K58" s="16" t="s">
        <v>19</v>
      </c>
      <c r="L58" s="16" t="s">
        <v>19</v>
      </c>
      <c r="O58"/>
      <c r="P58"/>
    </row>
    <row r="59" spans="1:16" x14ac:dyDescent="0.25">
      <c r="A59" s="16" t="s">
        <v>126</v>
      </c>
      <c r="B59" s="12">
        <v>45706</v>
      </c>
      <c r="C59" s="16">
        <v>45708</v>
      </c>
      <c r="D59" s="16" t="s">
        <v>49</v>
      </c>
      <c r="E59" s="16" t="s">
        <v>76</v>
      </c>
      <c r="F59" s="16" t="s">
        <v>22</v>
      </c>
      <c r="G59" s="16" t="s">
        <v>55</v>
      </c>
      <c r="H59" s="16" t="s">
        <v>95</v>
      </c>
      <c r="I59" s="16" t="s">
        <v>38</v>
      </c>
      <c r="J59" s="16" t="s">
        <v>18</v>
      </c>
      <c r="K59" s="16" t="s">
        <v>20</v>
      </c>
      <c r="L59" s="16" t="s">
        <v>20</v>
      </c>
      <c r="O59"/>
      <c r="P59"/>
    </row>
    <row r="60" spans="1:16" x14ac:dyDescent="0.25">
      <c r="A60" s="16" t="s">
        <v>127</v>
      </c>
      <c r="B60" s="12">
        <v>45874</v>
      </c>
      <c r="C60" s="13">
        <v>45875</v>
      </c>
      <c r="D60" s="16" t="s">
        <v>13</v>
      </c>
      <c r="E60" s="16" t="s">
        <v>14</v>
      </c>
      <c r="F60" s="16" t="s">
        <v>15</v>
      </c>
      <c r="G60" s="16" t="s">
        <v>23</v>
      </c>
      <c r="H60" s="16" t="s">
        <v>128</v>
      </c>
      <c r="I60" s="16" t="s">
        <v>25</v>
      </c>
      <c r="J60" s="16" t="s">
        <v>26</v>
      </c>
      <c r="K60" s="16" t="s">
        <v>19</v>
      </c>
      <c r="L60" s="16" t="s">
        <v>19</v>
      </c>
      <c r="O60"/>
      <c r="P60"/>
    </row>
    <row r="61" spans="1:16" x14ac:dyDescent="0.25">
      <c r="A61" s="16" t="s">
        <v>129</v>
      </c>
      <c r="B61" s="12">
        <v>45794</v>
      </c>
      <c r="C61" s="13"/>
      <c r="D61" s="16" t="s">
        <v>49</v>
      </c>
      <c r="E61" s="16" t="s">
        <v>14</v>
      </c>
      <c r="F61" s="16" t="s">
        <v>30</v>
      </c>
      <c r="G61" s="16" t="s">
        <v>42</v>
      </c>
      <c r="H61" s="16" t="s">
        <v>79</v>
      </c>
      <c r="I61" s="16" t="s">
        <v>33</v>
      </c>
      <c r="J61" s="16" t="s">
        <v>26</v>
      </c>
      <c r="K61" s="16" t="s">
        <v>39</v>
      </c>
      <c r="L61" s="16" t="s">
        <v>20</v>
      </c>
      <c r="O61"/>
      <c r="P61"/>
    </row>
    <row r="62" spans="1:16" x14ac:dyDescent="0.25">
      <c r="A62" s="16" t="s">
        <v>130</v>
      </c>
      <c r="B62" s="12">
        <v>45817</v>
      </c>
      <c r="C62" s="13">
        <v>45818</v>
      </c>
      <c r="D62" s="16" t="s">
        <v>28</v>
      </c>
      <c r="E62" s="16" t="s">
        <v>29</v>
      </c>
      <c r="F62" s="16" t="s">
        <v>54</v>
      </c>
      <c r="G62" s="16" t="s">
        <v>16</v>
      </c>
      <c r="H62" s="16" t="s">
        <v>92</v>
      </c>
      <c r="I62" s="16" t="s">
        <v>17</v>
      </c>
      <c r="J62" s="16" t="s">
        <v>18</v>
      </c>
      <c r="K62" s="16" t="s">
        <v>19</v>
      </c>
      <c r="L62" s="16" t="s">
        <v>20</v>
      </c>
      <c r="O62"/>
      <c r="P62"/>
    </row>
    <row r="63" spans="1:16" x14ac:dyDescent="0.25">
      <c r="A63" s="16" t="s">
        <v>131</v>
      </c>
      <c r="B63" s="13">
        <v>45927</v>
      </c>
      <c r="C63" s="13">
        <v>45930</v>
      </c>
      <c r="D63" s="16" t="s">
        <v>49</v>
      </c>
      <c r="E63" s="16" t="s">
        <v>14</v>
      </c>
      <c r="F63" s="16" t="s">
        <v>30</v>
      </c>
      <c r="G63" s="16" t="s">
        <v>31</v>
      </c>
      <c r="H63" s="16" t="s">
        <v>110</v>
      </c>
      <c r="I63" s="16" t="s">
        <v>33</v>
      </c>
      <c r="J63" s="16" t="s">
        <v>34</v>
      </c>
      <c r="K63" s="16" t="s">
        <v>19</v>
      </c>
      <c r="L63" s="16" t="s">
        <v>39</v>
      </c>
      <c r="O63"/>
      <c r="P63"/>
    </row>
    <row r="64" spans="1:16" x14ac:dyDescent="0.25">
      <c r="A64" s="16" t="s">
        <v>132</v>
      </c>
      <c r="B64" s="13">
        <v>45679</v>
      </c>
      <c r="C64" s="13">
        <v>45680</v>
      </c>
      <c r="D64" s="16" t="s">
        <v>45</v>
      </c>
      <c r="E64" s="16" t="s">
        <v>29</v>
      </c>
      <c r="F64" s="16" t="s">
        <v>22</v>
      </c>
      <c r="G64" s="16" t="s">
        <v>42</v>
      </c>
      <c r="H64" s="16" t="s">
        <v>62</v>
      </c>
      <c r="I64" s="16" t="s">
        <v>33</v>
      </c>
      <c r="J64" s="16" t="s">
        <v>60</v>
      </c>
      <c r="K64" s="16" t="s">
        <v>20</v>
      </c>
      <c r="L64" s="16" t="s">
        <v>20</v>
      </c>
      <c r="O64"/>
      <c r="P64"/>
    </row>
    <row r="65" spans="1:16" x14ac:dyDescent="0.25">
      <c r="A65" s="16" t="s">
        <v>133</v>
      </c>
      <c r="B65" s="13">
        <v>45860</v>
      </c>
      <c r="C65" s="13">
        <v>45862</v>
      </c>
      <c r="D65" s="16" t="s">
        <v>45</v>
      </c>
      <c r="E65" s="16" t="s">
        <v>29</v>
      </c>
      <c r="F65" s="16" t="s">
        <v>54</v>
      </c>
      <c r="G65" s="16" t="s">
        <v>42</v>
      </c>
      <c r="H65" s="16" t="s">
        <v>134</v>
      </c>
      <c r="I65" s="16" t="s">
        <v>33</v>
      </c>
      <c r="J65" s="16" t="s">
        <v>18</v>
      </c>
      <c r="K65" s="16" t="s">
        <v>19</v>
      </c>
      <c r="L65" s="16" t="s">
        <v>39</v>
      </c>
      <c r="O65"/>
      <c r="P65"/>
    </row>
    <row r="66" spans="1:16" x14ac:dyDescent="0.25">
      <c r="A66" s="16" t="s">
        <v>135</v>
      </c>
      <c r="B66" s="12">
        <v>45979</v>
      </c>
      <c r="C66" s="16">
        <v>45979</v>
      </c>
      <c r="D66" s="16" t="s">
        <v>45</v>
      </c>
      <c r="E66" s="16" t="s">
        <v>76</v>
      </c>
      <c r="F66" s="16" t="s">
        <v>15</v>
      </c>
      <c r="G66" s="16" t="s">
        <v>42</v>
      </c>
      <c r="H66" s="16" t="s">
        <v>136</v>
      </c>
      <c r="I66" s="16" t="s">
        <v>69</v>
      </c>
      <c r="J66" s="16" t="s">
        <v>18</v>
      </c>
      <c r="K66" s="16" t="s">
        <v>20</v>
      </c>
      <c r="L66" s="16" t="s">
        <v>20</v>
      </c>
      <c r="O66"/>
      <c r="P66"/>
    </row>
    <row r="67" spans="1:16" x14ac:dyDescent="0.25">
      <c r="A67" s="16" t="s">
        <v>137</v>
      </c>
      <c r="B67" s="13">
        <v>45687</v>
      </c>
      <c r="C67" s="13">
        <v>45687</v>
      </c>
      <c r="D67" s="16" t="s">
        <v>13</v>
      </c>
      <c r="E67" s="16" t="s">
        <v>14</v>
      </c>
      <c r="F67" s="16" t="s">
        <v>66</v>
      </c>
      <c r="G67" s="16" t="s">
        <v>42</v>
      </c>
      <c r="H67" s="16" t="s">
        <v>56</v>
      </c>
      <c r="I67" s="16" t="s">
        <v>52</v>
      </c>
      <c r="J67" s="16" t="s">
        <v>26</v>
      </c>
      <c r="K67" s="16" t="s">
        <v>39</v>
      </c>
      <c r="L67" s="16" t="s">
        <v>19</v>
      </c>
      <c r="O67"/>
      <c r="P67"/>
    </row>
    <row r="68" spans="1:16" x14ac:dyDescent="0.25">
      <c r="A68" s="16" t="s">
        <v>138</v>
      </c>
      <c r="B68" s="13">
        <v>45888</v>
      </c>
      <c r="C68" s="13"/>
      <c r="D68" s="16" t="s">
        <v>28</v>
      </c>
      <c r="E68" s="16" t="s">
        <v>14</v>
      </c>
      <c r="F68" s="16" t="s">
        <v>66</v>
      </c>
      <c r="G68" s="16" t="s">
        <v>31</v>
      </c>
      <c r="H68" s="16" t="s">
        <v>106</v>
      </c>
      <c r="I68" s="16" t="s">
        <v>33</v>
      </c>
      <c r="J68" s="16" t="s">
        <v>60</v>
      </c>
      <c r="K68" s="16" t="s">
        <v>19</v>
      </c>
      <c r="L68" s="16" t="s">
        <v>20</v>
      </c>
      <c r="O68"/>
      <c r="P68"/>
    </row>
    <row r="69" spans="1:16" x14ac:dyDescent="0.25">
      <c r="A69" s="16" t="s">
        <v>139</v>
      </c>
      <c r="B69" s="13">
        <v>45684</v>
      </c>
      <c r="C69" s="16">
        <v>45685</v>
      </c>
      <c r="D69" s="16" t="s">
        <v>49</v>
      </c>
      <c r="E69" s="16" t="s">
        <v>58</v>
      </c>
      <c r="F69" s="16" t="s">
        <v>66</v>
      </c>
      <c r="G69" s="16" t="s">
        <v>42</v>
      </c>
      <c r="H69" s="16" t="s">
        <v>24</v>
      </c>
      <c r="I69" s="16" t="s">
        <v>69</v>
      </c>
      <c r="J69" s="16" t="s">
        <v>18</v>
      </c>
      <c r="K69" s="16" t="s">
        <v>39</v>
      </c>
      <c r="L69" s="16" t="s">
        <v>20</v>
      </c>
      <c r="O69"/>
      <c r="P69"/>
    </row>
    <row r="70" spans="1:16" x14ac:dyDescent="0.25">
      <c r="A70" s="16" t="s">
        <v>140</v>
      </c>
      <c r="B70" s="13">
        <v>46008</v>
      </c>
      <c r="C70" s="13">
        <v>46008</v>
      </c>
      <c r="D70" s="16" t="s">
        <v>28</v>
      </c>
      <c r="E70" s="16" t="s">
        <v>14</v>
      </c>
      <c r="F70" s="16" t="s">
        <v>66</v>
      </c>
      <c r="G70" s="16" t="s">
        <v>42</v>
      </c>
      <c r="H70" s="16" t="s">
        <v>51</v>
      </c>
      <c r="I70" s="16" t="s">
        <v>69</v>
      </c>
      <c r="J70" s="16" t="s">
        <v>60</v>
      </c>
      <c r="K70" s="16" t="s">
        <v>39</v>
      </c>
      <c r="L70" s="16" t="s">
        <v>20</v>
      </c>
      <c r="O70"/>
      <c r="P70"/>
    </row>
    <row r="71" spans="1:16" x14ac:dyDescent="0.25">
      <c r="A71" s="16" t="s">
        <v>141</v>
      </c>
      <c r="B71" s="13">
        <v>45974</v>
      </c>
      <c r="D71" s="16" t="s">
        <v>28</v>
      </c>
      <c r="E71" s="16" t="s">
        <v>58</v>
      </c>
      <c r="F71" s="16" t="s">
        <v>30</v>
      </c>
      <c r="G71" s="16" t="s">
        <v>42</v>
      </c>
      <c r="H71" s="16" t="s">
        <v>59</v>
      </c>
      <c r="I71" s="16" t="s">
        <v>69</v>
      </c>
      <c r="J71" s="16" t="s">
        <v>34</v>
      </c>
      <c r="K71" s="16" t="s">
        <v>39</v>
      </c>
      <c r="L71" s="16" t="s">
        <v>20</v>
      </c>
      <c r="O71"/>
      <c r="P71"/>
    </row>
    <row r="72" spans="1:16" x14ac:dyDescent="0.25">
      <c r="A72" s="16" t="s">
        <v>142</v>
      </c>
      <c r="B72" s="13">
        <v>45950</v>
      </c>
      <c r="C72" s="13">
        <v>45950</v>
      </c>
      <c r="D72" s="16" t="s">
        <v>13</v>
      </c>
      <c r="E72" s="16" t="s">
        <v>29</v>
      </c>
      <c r="F72" s="16" t="s">
        <v>66</v>
      </c>
      <c r="G72" s="16" t="s">
        <v>55</v>
      </c>
      <c r="H72" s="16" t="s">
        <v>110</v>
      </c>
      <c r="I72" s="16" t="s">
        <v>25</v>
      </c>
      <c r="J72" s="16" t="s">
        <v>26</v>
      </c>
      <c r="K72" s="16" t="s">
        <v>39</v>
      </c>
      <c r="L72" s="16" t="s">
        <v>20</v>
      </c>
      <c r="O72"/>
      <c r="P72"/>
    </row>
    <row r="73" spans="1:16" x14ac:dyDescent="0.25">
      <c r="A73" s="16" t="s">
        <v>143</v>
      </c>
      <c r="B73" s="13">
        <v>45920</v>
      </c>
      <c r="C73" s="13"/>
      <c r="D73" s="16" t="s">
        <v>45</v>
      </c>
      <c r="E73" s="16" t="s">
        <v>29</v>
      </c>
      <c r="F73" s="16" t="s">
        <v>144</v>
      </c>
      <c r="G73" s="16" t="s">
        <v>16</v>
      </c>
      <c r="H73" s="16" t="s">
        <v>56</v>
      </c>
      <c r="I73" s="16" t="s">
        <v>25</v>
      </c>
      <c r="J73" s="16" t="s">
        <v>60</v>
      </c>
      <c r="K73" s="16" t="s">
        <v>20</v>
      </c>
      <c r="L73" s="16" t="s">
        <v>20</v>
      </c>
      <c r="O73"/>
      <c r="P73"/>
    </row>
    <row r="74" spans="1:16" x14ac:dyDescent="0.25">
      <c r="A74" s="16" t="s">
        <v>145</v>
      </c>
      <c r="B74" s="13">
        <v>45990</v>
      </c>
      <c r="C74" s="13">
        <v>45999</v>
      </c>
      <c r="D74" s="16" t="s">
        <v>13</v>
      </c>
      <c r="E74" s="16" t="s">
        <v>14</v>
      </c>
      <c r="F74" s="16" t="s">
        <v>15</v>
      </c>
      <c r="G74" s="16" t="s">
        <v>16</v>
      </c>
      <c r="H74" s="16" t="s">
        <v>79</v>
      </c>
      <c r="I74" s="16" t="s">
        <v>52</v>
      </c>
      <c r="J74" s="16" t="s">
        <v>18</v>
      </c>
      <c r="K74" s="16" t="s">
        <v>19</v>
      </c>
      <c r="L74" s="16" t="s">
        <v>39</v>
      </c>
      <c r="O74"/>
      <c r="P74"/>
    </row>
    <row r="75" spans="1:16" x14ac:dyDescent="0.25">
      <c r="A75" s="16" t="s">
        <v>146</v>
      </c>
      <c r="B75" s="13">
        <v>45780</v>
      </c>
      <c r="C75" s="13">
        <v>45783</v>
      </c>
      <c r="D75" s="16" t="s">
        <v>45</v>
      </c>
      <c r="E75" s="16" t="s">
        <v>14</v>
      </c>
      <c r="F75" s="16" t="s">
        <v>22</v>
      </c>
      <c r="G75" s="16" t="s">
        <v>23</v>
      </c>
      <c r="H75" s="16"/>
      <c r="I75" s="16" t="s">
        <v>69</v>
      </c>
      <c r="J75" s="16" t="s">
        <v>60</v>
      </c>
      <c r="K75" s="16" t="s">
        <v>19</v>
      </c>
      <c r="L75" s="16" t="s">
        <v>20</v>
      </c>
      <c r="O75"/>
      <c r="P75"/>
    </row>
    <row r="76" spans="1:16" x14ac:dyDescent="0.25">
      <c r="A76" s="16" t="s">
        <v>147</v>
      </c>
      <c r="B76" s="13">
        <v>45856</v>
      </c>
      <c r="C76" s="13">
        <v>45857</v>
      </c>
      <c r="D76" s="16" t="s">
        <v>49</v>
      </c>
      <c r="E76" s="16" t="s">
        <v>29</v>
      </c>
      <c r="F76" s="16" t="s">
        <v>41</v>
      </c>
      <c r="G76" s="16" t="s">
        <v>55</v>
      </c>
      <c r="H76" s="16" t="s">
        <v>56</v>
      </c>
      <c r="I76" s="16" t="s">
        <v>33</v>
      </c>
      <c r="J76" s="16" t="s">
        <v>26</v>
      </c>
      <c r="K76" s="16" t="s">
        <v>20</v>
      </c>
      <c r="L76" s="16" t="s">
        <v>39</v>
      </c>
      <c r="O76"/>
      <c r="P76"/>
    </row>
    <row r="77" spans="1:16" x14ac:dyDescent="0.25">
      <c r="A77" s="16" t="s">
        <v>148</v>
      </c>
      <c r="B77" s="13">
        <v>45690</v>
      </c>
      <c r="C77" s="13">
        <v>45691</v>
      </c>
      <c r="D77" s="16" t="s">
        <v>49</v>
      </c>
      <c r="E77" s="16" t="s">
        <v>29</v>
      </c>
      <c r="F77" s="16" t="s">
        <v>36</v>
      </c>
      <c r="G77" s="16" t="s">
        <v>55</v>
      </c>
      <c r="H77" s="16" t="s">
        <v>43</v>
      </c>
      <c r="I77" s="16" t="s">
        <v>25</v>
      </c>
      <c r="J77" s="16" t="s">
        <v>34</v>
      </c>
      <c r="K77" s="16" t="s">
        <v>19</v>
      </c>
      <c r="L77" s="16" t="s">
        <v>19</v>
      </c>
      <c r="O77"/>
      <c r="P77"/>
    </row>
    <row r="78" spans="1:16" x14ac:dyDescent="0.25">
      <c r="A78" s="16" t="s">
        <v>149</v>
      </c>
      <c r="B78" s="13">
        <v>45886</v>
      </c>
      <c r="D78" s="16" t="s">
        <v>45</v>
      </c>
      <c r="E78" s="16" t="s">
        <v>58</v>
      </c>
      <c r="F78" s="16" t="s">
        <v>22</v>
      </c>
      <c r="G78" s="16" t="s">
        <v>23</v>
      </c>
      <c r="H78" s="16" t="s">
        <v>56</v>
      </c>
      <c r="I78" s="16" t="s">
        <v>38</v>
      </c>
      <c r="J78" s="16" t="s">
        <v>26</v>
      </c>
      <c r="K78" s="16" t="s">
        <v>19</v>
      </c>
      <c r="L78" s="16" t="s">
        <v>20</v>
      </c>
      <c r="O78"/>
      <c r="P78"/>
    </row>
    <row r="79" spans="1:16" x14ac:dyDescent="0.25">
      <c r="A79" s="16" t="s">
        <v>150</v>
      </c>
      <c r="B79" s="13">
        <v>45846</v>
      </c>
      <c r="C79" s="16">
        <v>45846</v>
      </c>
      <c r="D79" s="16" t="s">
        <v>49</v>
      </c>
      <c r="E79" s="16" t="s">
        <v>76</v>
      </c>
      <c r="F79" s="16" t="s">
        <v>15</v>
      </c>
      <c r="G79" s="16" t="s">
        <v>23</v>
      </c>
      <c r="H79" s="16" t="s">
        <v>151</v>
      </c>
      <c r="I79" s="16" t="s">
        <v>47</v>
      </c>
      <c r="J79" s="16" t="s">
        <v>60</v>
      </c>
      <c r="K79" s="16" t="s">
        <v>20</v>
      </c>
      <c r="L79" s="16" t="s">
        <v>39</v>
      </c>
      <c r="O79"/>
      <c r="P79"/>
    </row>
    <row r="80" spans="1:16" x14ac:dyDescent="0.25">
      <c r="A80" s="16" t="s">
        <v>152</v>
      </c>
      <c r="B80" s="13">
        <v>45996</v>
      </c>
      <c r="C80" s="13">
        <v>45996</v>
      </c>
      <c r="D80" s="16" t="s">
        <v>49</v>
      </c>
      <c r="E80" s="16" t="s">
        <v>14</v>
      </c>
      <c r="F80" s="16" t="s">
        <v>50</v>
      </c>
      <c r="G80" s="16" t="s">
        <v>23</v>
      </c>
      <c r="H80" s="16" t="s">
        <v>46</v>
      </c>
      <c r="I80" s="16" t="s">
        <v>17</v>
      </c>
      <c r="J80" s="16" t="s">
        <v>18</v>
      </c>
      <c r="K80" s="16" t="s">
        <v>39</v>
      </c>
      <c r="L80" s="16" t="s">
        <v>20</v>
      </c>
      <c r="O80"/>
      <c r="P80"/>
    </row>
    <row r="81" spans="1:16" x14ac:dyDescent="0.25">
      <c r="A81" s="16" t="s">
        <v>153</v>
      </c>
      <c r="B81" s="13">
        <v>45675</v>
      </c>
      <c r="C81" s="13"/>
      <c r="D81" s="16" t="s">
        <v>45</v>
      </c>
      <c r="E81" s="16" t="s">
        <v>29</v>
      </c>
      <c r="F81" s="16" t="s">
        <v>41</v>
      </c>
      <c r="G81" s="16" t="s">
        <v>23</v>
      </c>
      <c r="H81" s="16" t="s">
        <v>24</v>
      </c>
      <c r="I81" s="16" t="s">
        <v>17</v>
      </c>
      <c r="J81" s="16" t="s">
        <v>34</v>
      </c>
      <c r="K81" s="16" t="s">
        <v>39</v>
      </c>
      <c r="L81" s="16" t="s">
        <v>20</v>
      </c>
      <c r="O81"/>
      <c r="P81"/>
    </row>
    <row r="82" spans="1:16" x14ac:dyDescent="0.25">
      <c r="A82" s="16" t="s">
        <v>154</v>
      </c>
      <c r="B82" s="13">
        <v>45716</v>
      </c>
      <c r="C82" s="13"/>
      <c r="D82" s="16" t="s">
        <v>49</v>
      </c>
      <c r="E82" s="16" t="s">
        <v>14</v>
      </c>
      <c r="F82" s="16" t="s">
        <v>50</v>
      </c>
      <c r="G82" s="16" t="s">
        <v>31</v>
      </c>
      <c r="H82" s="16" t="s">
        <v>136</v>
      </c>
      <c r="I82" s="16" t="s">
        <v>33</v>
      </c>
      <c r="J82" s="16" t="s">
        <v>34</v>
      </c>
      <c r="K82" s="16" t="s">
        <v>39</v>
      </c>
      <c r="L82" s="16" t="s">
        <v>19</v>
      </c>
      <c r="O82"/>
      <c r="P82"/>
    </row>
    <row r="83" spans="1:16" x14ac:dyDescent="0.25">
      <c r="A83" s="16" t="s">
        <v>155</v>
      </c>
      <c r="B83" s="13">
        <v>45885</v>
      </c>
      <c r="C83" s="13">
        <v>45885</v>
      </c>
      <c r="D83" s="16" t="s">
        <v>45</v>
      </c>
      <c r="E83" s="16" t="s">
        <v>29</v>
      </c>
      <c r="F83" s="16" t="s">
        <v>50</v>
      </c>
      <c r="G83" s="16" t="s">
        <v>42</v>
      </c>
      <c r="H83" s="16" t="s">
        <v>51</v>
      </c>
      <c r="I83" s="16" t="s">
        <v>38</v>
      </c>
      <c r="J83" s="16" t="s">
        <v>34</v>
      </c>
      <c r="K83" s="16" t="s">
        <v>19</v>
      </c>
      <c r="L83" s="16" t="s">
        <v>20</v>
      </c>
      <c r="O83"/>
      <c r="P83"/>
    </row>
    <row r="84" spans="1:16" x14ac:dyDescent="0.25">
      <c r="A84" s="16" t="s">
        <v>156</v>
      </c>
      <c r="B84" s="13">
        <v>45846</v>
      </c>
      <c r="C84" s="13">
        <v>45851</v>
      </c>
      <c r="D84" s="16" t="s">
        <v>28</v>
      </c>
      <c r="E84" s="16" t="s">
        <v>14</v>
      </c>
      <c r="F84" s="16" t="s">
        <v>22</v>
      </c>
      <c r="G84" s="16" t="s">
        <v>42</v>
      </c>
      <c r="H84" s="16" t="s">
        <v>92</v>
      </c>
      <c r="I84" s="16" t="s">
        <v>69</v>
      </c>
      <c r="J84" s="16" t="s">
        <v>34</v>
      </c>
      <c r="K84" s="16" t="s">
        <v>20</v>
      </c>
      <c r="L84" s="16" t="s">
        <v>39</v>
      </c>
      <c r="O84"/>
      <c r="P84"/>
    </row>
    <row r="85" spans="1:16" x14ac:dyDescent="0.25">
      <c r="A85" s="16" t="s">
        <v>157</v>
      </c>
      <c r="B85" s="13">
        <v>45686</v>
      </c>
      <c r="C85" s="16">
        <v>45689</v>
      </c>
      <c r="D85" s="16" t="s">
        <v>13</v>
      </c>
      <c r="E85" s="16" t="s">
        <v>58</v>
      </c>
      <c r="F85" s="16" t="s">
        <v>54</v>
      </c>
      <c r="G85" s="16" t="s">
        <v>16</v>
      </c>
      <c r="H85" s="16" t="s">
        <v>32</v>
      </c>
      <c r="I85" s="16" t="s">
        <v>33</v>
      </c>
      <c r="J85" s="16" t="s">
        <v>18</v>
      </c>
      <c r="K85" s="16" t="s">
        <v>20</v>
      </c>
      <c r="L85" s="16" t="s">
        <v>20</v>
      </c>
      <c r="O85"/>
      <c r="P85"/>
    </row>
    <row r="86" spans="1:16" x14ac:dyDescent="0.25">
      <c r="A86" s="16" t="s">
        <v>158</v>
      </c>
      <c r="B86" s="12">
        <v>45967</v>
      </c>
      <c r="C86" s="13">
        <v>45969</v>
      </c>
      <c r="D86" s="16" t="s">
        <v>45</v>
      </c>
      <c r="E86" s="16" t="s">
        <v>14</v>
      </c>
      <c r="F86" s="16" t="s">
        <v>41</v>
      </c>
      <c r="G86" s="16" t="s">
        <v>55</v>
      </c>
      <c r="H86" s="16" t="s">
        <v>77</v>
      </c>
      <c r="I86" s="16" t="s">
        <v>52</v>
      </c>
      <c r="J86" s="16" t="s">
        <v>26</v>
      </c>
      <c r="K86" s="16" t="s">
        <v>20</v>
      </c>
      <c r="L86" s="16" t="s">
        <v>20</v>
      </c>
      <c r="O86"/>
      <c r="P86"/>
    </row>
    <row r="87" spans="1:16" x14ac:dyDescent="0.25">
      <c r="A87" s="16" t="s">
        <v>159</v>
      </c>
      <c r="B87" s="13">
        <v>45695</v>
      </c>
      <c r="C87" s="13">
        <v>45696</v>
      </c>
      <c r="D87" s="16" t="s">
        <v>45</v>
      </c>
      <c r="E87" s="16" t="s">
        <v>29</v>
      </c>
      <c r="F87" s="16" t="s">
        <v>50</v>
      </c>
      <c r="G87" s="16" t="s">
        <v>55</v>
      </c>
      <c r="H87" s="16" t="s">
        <v>37</v>
      </c>
      <c r="I87" s="16" t="s">
        <v>47</v>
      </c>
      <c r="J87" s="16" t="s">
        <v>34</v>
      </c>
      <c r="K87" s="16" t="s">
        <v>39</v>
      </c>
      <c r="L87" s="16" t="s">
        <v>19</v>
      </c>
      <c r="O87"/>
      <c r="P87"/>
    </row>
    <row r="88" spans="1:16" x14ac:dyDescent="0.25">
      <c r="A88" s="16" t="s">
        <v>160</v>
      </c>
      <c r="B88" s="13">
        <v>45784</v>
      </c>
      <c r="D88" s="16" t="s">
        <v>45</v>
      </c>
      <c r="E88" s="16" t="s">
        <v>76</v>
      </c>
      <c r="F88" s="16" t="s">
        <v>41</v>
      </c>
      <c r="G88" s="16" t="s">
        <v>16</v>
      </c>
      <c r="H88" s="16" t="s">
        <v>43</v>
      </c>
      <c r="I88" s="16" t="s">
        <v>33</v>
      </c>
      <c r="J88" s="16" t="s">
        <v>26</v>
      </c>
      <c r="K88" s="16" t="s">
        <v>19</v>
      </c>
      <c r="L88" s="16" t="s">
        <v>19</v>
      </c>
      <c r="O88"/>
      <c r="P88"/>
    </row>
    <row r="89" spans="1:16" x14ac:dyDescent="0.25">
      <c r="A89" s="16" t="s">
        <v>161</v>
      </c>
      <c r="B89" s="13">
        <v>45704</v>
      </c>
      <c r="C89" s="13">
        <v>45704</v>
      </c>
      <c r="D89" s="16" t="s">
        <v>28</v>
      </c>
      <c r="E89" s="16" t="s">
        <v>29</v>
      </c>
      <c r="F89" s="16" t="s">
        <v>50</v>
      </c>
      <c r="G89" s="16"/>
      <c r="H89" s="16" t="s">
        <v>134</v>
      </c>
      <c r="I89" s="16" t="s">
        <v>33</v>
      </c>
      <c r="J89" s="16" t="s">
        <v>18</v>
      </c>
      <c r="K89" s="16" t="s">
        <v>39</v>
      </c>
      <c r="L89" s="16" t="s">
        <v>19</v>
      </c>
      <c r="O89"/>
      <c r="P89"/>
    </row>
    <row r="90" spans="1:16" x14ac:dyDescent="0.25">
      <c r="A90" s="16" t="s">
        <v>162</v>
      </c>
      <c r="B90" s="13">
        <v>45684</v>
      </c>
      <c r="C90" s="13">
        <v>45684</v>
      </c>
      <c r="D90" s="16" t="s">
        <v>28</v>
      </c>
      <c r="E90" s="16" t="s">
        <v>14</v>
      </c>
      <c r="F90" s="16" t="s">
        <v>15</v>
      </c>
      <c r="G90" s="16" t="s">
        <v>31</v>
      </c>
      <c r="H90" s="16" t="s">
        <v>136</v>
      </c>
      <c r="I90" s="16" t="s">
        <v>52</v>
      </c>
      <c r="J90" s="16" t="s">
        <v>34</v>
      </c>
      <c r="K90" s="16" t="s">
        <v>19</v>
      </c>
      <c r="L90" s="16" t="s">
        <v>39</v>
      </c>
      <c r="O90"/>
      <c r="P90"/>
    </row>
    <row r="91" spans="1:16" x14ac:dyDescent="0.25">
      <c r="A91" s="16" t="s">
        <v>163</v>
      </c>
      <c r="B91" s="13">
        <v>45914</v>
      </c>
      <c r="C91" s="13"/>
      <c r="D91" s="16" t="s">
        <v>45</v>
      </c>
      <c r="E91" s="16" t="s">
        <v>29</v>
      </c>
      <c r="F91" s="16" t="s">
        <v>22</v>
      </c>
      <c r="G91" s="16" t="s">
        <v>23</v>
      </c>
      <c r="H91" s="16" t="s">
        <v>32</v>
      </c>
      <c r="I91" s="16" t="s">
        <v>33</v>
      </c>
      <c r="J91" s="16" t="s">
        <v>26</v>
      </c>
      <c r="K91" s="16" t="s">
        <v>39</v>
      </c>
      <c r="L91" s="16" t="s">
        <v>20</v>
      </c>
      <c r="O91"/>
      <c r="P91"/>
    </row>
    <row r="92" spans="1:16" x14ac:dyDescent="0.25">
      <c r="A92" s="16" t="s">
        <v>164</v>
      </c>
      <c r="B92" s="13">
        <v>46020</v>
      </c>
      <c r="C92" s="16">
        <v>46020</v>
      </c>
      <c r="D92" s="16" t="s">
        <v>13</v>
      </c>
      <c r="E92" s="16" t="s">
        <v>58</v>
      </c>
      <c r="F92" s="16" t="s">
        <v>22</v>
      </c>
      <c r="G92" s="16" t="s">
        <v>16</v>
      </c>
      <c r="H92" s="16" t="s">
        <v>43</v>
      </c>
      <c r="I92" s="16" t="s">
        <v>47</v>
      </c>
      <c r="J92" s="16" t="s">
        <v>26</v>
      </c>
      <c r="K92" s="16" t="s">
        <v>39</v>
      </c>
      <c r="L92" s="16" t="s">
        <v>20</v>
      </c>
      <c r="O92"/>
      <c r="P92"/>
    </row>
    <row r="93" spans="1:16" x14ac:dyDescent="0.25">
      <c r="A93" s="16" t="s">
        <v>165</v>
      </c>
      <c r="B93" s="13">
        <v>45975</v>
      </c>
      <c r="C93" s="13">
        <v>45975</v>
      </c>
      <c r="D93" s="16" t="s">
        <v>49</v>
      </c>
      <c r="E93" s="16" t="s">
        <v>29</v>
      </c>
      <c r="F93" s="16" t="s">
        <v>50</v>
      </c>
      <c r="G93" s="16" t="s">
        <v>16</v>
      </c>
      <c r="H93" s="16" t="s">
        <v>73</v>
      </c>
      <c r="I93" s="16" t="s">
        <v>52</v>
      </c>
      <c r="J93" s="16" t="s">
        <v>34</v>
      </c>
      <c r="K93" s="16" t="s">
        <v>39</v>
      </c>
      <c r="L93" s="16" t="s">
        <v>39</v>
      </c>
      <c r="O93"/>
      <c r="P93"/>
    </row>
    <row r="94" spans="1:16" x14ac:dyDescent="0.25">
      <c r="A94" s="16" t="s">
        <v>166</v>
      </c>
      <c r="B94" s="13">
        <v>45997</v>
      </c>
      <c r="C94" s="16">
        <v>46000</v>
      </c>
      <c r="D94" s="16" t="s">
        <v>28</v>
      </c>
      <c r="E94" s="16" t="s">
        <v>167</v>
      </c>
      <c r="F94" s="16" t="s">
        <v>66</v>
      </c>
      <c r="G94" s="16" t="s">
        <v>31</v>
      </c>
      <c r="H94" s="16" t="s">
        <v>106</v>
      </c>
      <c r="I94" s="16" t="s">
        <v>47</v>
      </c>
      <c r="J94" s="16" t="s">
        <v>60</v>
      </c>
      <c r="K94" s="16" t="s">
        <v>19</v>
      </c>
      <c r="L94" s="16" t="s">
        <v>19</v>
      </c>
      <c r="O94"/>
      <c r="P94"/>
    </row>
    <row r="95" spans="1:16" x14ac:dyDescent="0.25">
      <c r="A95" s="16" t="s">
        <v>168</v>
      </c>
      <c r="B95" s="13">
        <v>46018</v>
      </c>
      <c r="C95" s="13"/>
      <c r="D95" s="16" t="s">
        <v>28</v>
      </c>
      <c r="E95" s="16" t="s">
        <v>14</v>
      </c>
      <c r="F95" s="16" t="s">
        <v>54</v>
      </c>
      <c r="G95" s="16" t="s">
        <v>23</v>
      </c>
      <c r="H95" s="16" t="s">
        <v>95</v>
      </c>
      <c r="I95" s="16" t="s">
        <v>69</v>
      </c>
      <c r="J95" s="16" t="s">
        <v>26</v>
      </c>
      <c r="K95" s="16" t="s">
        <v>20</v>
      </c>
      <c r="L95" s="16" t="s">
        <v>19</v>
      </c>
      <c r="O95"/>
      <c r="P95"/>
    </row>
    <row r="96" spans="1:16" x14ac:dyDescent="0.25">
      <c r="A96" s="16" t="s">
        <v>169</v>
      </c>
      <c r="B96" s="13">
        <v>45698</v>
      </c>
      <c r="C96" s="13">
        <v>45706</v>
      </c>
      <c r="D96" s="16" t="s">
        <v>49</v>
      </c>
      <c r="E96" s="16" t="s">
        <v>14</v>
      </c>
      <c r="F96" s="16" t="s">
        <v>66</v>
      </c>
      <c r="G96" s="16"/>
      <c r="H96" s="16" t="s">
        <v>106</v>
      </c>
      <c r="I96" s="16" t="s">
        <v>17</v>
      </c>
      <c r="J96" s="16" t="s">
        <v>18</v>
      </c>
      <c r="K96" s="16" t="s">
        <v>20</v>
      </c>
      <c r="L96" s="16" t="s">
        <v>19</v>
      </c>
      <c r="O96"/>
      <c r="P96"/>
    </row>
    <row r="97" spans="1:16" x14ac:dyDescent="0.25">
      <c r="A97" s="16" t="s">
        <v>170</v>
      </c>
      <c r="B97" s="13">
        <v>45899</v>
      </c>
      <c r="C97" s="13"/>
      <c r="D97" s="16" t="s">
        <v>49</v>
      </c>
      <c r="E97" s="16" t="s">
        <v>171</v>
      </c>
      <c r="F97" s="16" t="s">
        <v>54</v>
      </c>
      <c r="G97" s="16" t="s">
        <v>16</v>
      </c>
      <c r="H97" s="16"/>
      <c r="I97" s="16" t="s">
        <v>25</v>
      </c>
      <c r="J97" s="16" t="s">
        <v>60</v>
      </c>
      <c r="K97" s="16" t="s">
        <v>20</v>
      </c>
      <c r="L97" s="16" t="s">
        <v>20</v>
      </c>
      <c r="O97"/>
      <c r="P97"/>
    </row>
    <row r="98" spans="1:16" x14ac:dyDescent="0.25">
      <c r="A98" s="16" t="s">
        <v>172</v>
      </c>
      <c r="B98" s="13">
        <v>45677</v>
      </c>
      <c r="C98" s="13">
        <v>45677</v>
      </c>
      <c r="D98" s="16" t="s">
        <v>49</v>
      </c>
      <c r="E98" s="16" t="s">
        <v>29</v>
      </c>
      <c r="F98" s="16" t="s">
        <v>30</v>
      </c>
      <c r="G98" s="16" t="s">
        <v>16</v>
      </c>
      <c r="H98" s="16" t="s">
        <v>51</v>
      </c>
      <c r="I98" s="16" t="s">
        <v>47</v>
      </c>
      <c r="J98" s="16" t="s">
        <v>34</v>
      </c>
      <c r="K98" s="16" t="s">
        <v>19</v>
      </c>
      <c r="L98" s="16" t="s">
        <v>19</v>
      </c>
      <c r="O98"/>
      <c r="P98"/>
    </row>
    <row r="99" spans="1:16" x14ac:dyDescent="0.25">
      <c r="A99" s="16" t="s">
        <v>173</v>
      </c>
      <c r="B99" s="13">
        <v>45910</v>
      </c>
      <c r="C99" s="13">
        <v>45913</v>
      </c>
      <c r="D99" s="16" t="s">
        <v>13</v>
      </c>
      <c r="E99" s="16" t="s">
        <v>29</v>
      </c>
      <c r="F99" s="16" t="s">
        <v>30</v>
      </c>
      <c r="G99" s="16" t="s">
        <v>55</v>
      </c>
      <c r="H99" s="16" t="s">
        <v>134</v>
      </c>
      <c r="I99" s="16" t="s">
        <v>47</v>
      </c>
      <c r="J99" s="16" t="s">
        <v>60</v>
      </c>
      <c r="K99" s="16" t="s">
        <v>20</v>
      </c>
      <c r="L99" s="16" t="s">
        <v>39</v>
      </c>
      <c r="O99"/>
      <c r="P99"/>
    </row>
    <row r="100" spans="1:16" x14ac:dyDescent="0.25">
      <c r="A100" s="16" t="s">
        <v>174</v>
      </c>
      <c r="B100" s="13">
        <v>45863</v>
      </c>
      <c r="C100" s="13">
        <v>45867</v>
      </c>
      <c r="D100" s="16" t="s">
        <v>28</v>
      </c>
      <c r="E100" s="16" t="s">
        <v>88</v>
      </c>
      <c r="F100" s="16" t="s">
        <v>36</v>
      </c>
      <c r="G100" s="16" t="s">
        <v>55</v>
      </c>
      <c r="H100" s="16" t="s">
        <v>73</v>
      </c>
      <c r="I100" s="16" t="s">
        <v>38</v>
      </c>
      <c r="J100" s="16" t="s">
        <v>60</v>
      </c>
      <c r="K100" s="16" t="s">
        <v>20</v>
      </c>
      <c r="L100" s="16" t="s">
        <v>20</v>
      </c>
      <c r="O100"/>
      <c r="P100"/>
    </row>
    <row r="101" spans="1:16" x14ac:dyDescent="0.25">
      <c r="A101" s="16" t="s">
        <v>175</v>
      </c>
      <c r="B101" s="13">
        <v>46009</v>
      </c>
      <c r="C101" s="13">
        <v>46012</v>
      </c>
      <c r="D101" s="16" t="s">
        <v>49</v>
      </c>
      <c r="E101" s="16" t="s">
        <v>14</v>
      </c>
      <c r="F101" s="16" t="s">
        <v>54</v>
      </c>
      <c r="G101" s="16" t="s">
        <v>23</v>
      </c>
      <c r="H101" s="16" t="s">
        <v>51</v>
      </c>
      <c r="I101" s="16" t="s">
        <v>52</v>
      </c>
      <c r="J101" s="16" t="s">
        <v>34</v>
      </c>
      <c r="K101" s="16" t="s">
        <v>39</v>
      </c>
      <c r="L101" s="16" t="s">
        <v>39</v>
      </c>
      <c r="O101"/>
      <c r="P101"/>
    </row>
    <row r="102" spans="1:16" x14ac:dyDescent="0.25">
      <c r="A102" s="16" t="s">
        <v>176</v>
      </c>
      <c r="B102" s="13">
        <v>45699</v>
      </c>
      <c r="C102" s="13">
        <v>45705</v>
      </c>
      <c r="D102" s="16" t="s">
        <v>28</v>
      </c>
      <c r="E102" s="16" t="s">
        <v>14</v>
      </c>
      <c r="F102" s="16" t="s">
        <v>50</v>
      </c>
      <c r="G102" s="16" t="s">
        <v>42</v>
      </c>
      <c r="H102" s="16" t="s">
        <v>95</v>
      </c>
      <c r="I102" s="16" t="s">
        <v>25</v>
      </c>
      <c r="J102" s="16" t="s">
        <v>60</v>
      </c>
      <c r="K102" s="16" t="s">
        <v>20</v>
      </c>
      <c r="L102" s="16" t="s">
        <v>19</v>
      </c>
      <c r="O102"/>
      <c r="P102"/>
    </row>
    <row r="103" spans="1:16" x14ac:dyDescent="0.25">
      <c r="A103" s="16" t="s">
        <v>177</v>
      </c>
      <c r="B103" s="13">
        <v>45891</v>
      </c>
      <c r="C103" s="16">
        <v>45892</v>
      </c>
      <c r="D103" s="16" t="s">
        <v>45</v>
      </c>
      <c r="E103" s="16" t="s">
        <v>58</v>
      </c>
      <c r="F103" s="16" t="s">
        <v>30</v>
      </c>
      <c r="G103" s="16" t="s">
        <v>31</v>
      </c>
      <c r="H103" s="16" t="s">
        <v>134</v>
      </c>
      <c r="I103" s="16" t="s">
        <v>17</v>
      </c>
      <c r="J103" s="16" t="s">
        <v>26</v>
      </c>
      <c r="K103" s="16" t="s">
        <v>39</v>
      </c>
      <c r="L103" s="16" t="s">
        <v>19</v>
      </c>
      <c r="O103"/>
      <c r="P103"/>
    </row>
    <row r="104" spans="1:16" x14ac:dyDescent="0.25">
      <c r="A104" s="16" t="s">
        <v>178</v>
      </c>
      <c r="B104" s="13">
        <v>45727</v>
      </c>
      <c r="C104" s="13">
        <v>45728</v>
      </c>
      <c r="D104" s="16" t="s">
        <v>13</v>
      </c>
      <c r="E104" s="16" t="s">
        <v>29</v>
      </c>
      <c r="F104" s="16" t="s">
        <v>54</v>
      </c>
      <c r="G104" s="16" t="s">
        <v>42</v>
      </c>
      <c r="H104" s="16" t="s">
        <v>37</v>
      </c>
      <c r="I104" s="16" t="s">
        <v>17</v>
      </c>
      <c r="J104" s="16" t="s">
        <v>26</v>
      </c>
      <c r="K104" s="16" t="s">
        <v>20</v>
      </c>
      <c r="L104" s="16" t="s">
        <v>39</v>
      </c>
      <c r="O104"/>
      <c r="P104"/>
    </row>
    <row r="105" spans="1:16" x14ac:dyDescent="0.25">
      <c r="A105" s="16" t="s">
        <v>179</v>
      </c>
      <c r="B105" s="13">
        <v>45895</v>
      </c>
      <c r="C105" s="16">
        <v>45896</v>
      </c>
      <c r="D105" s="16" t="s">
        <v>49</v>
      </c>
      <c r="E105" s="16" t="s">
        <v>58</v>
      </c>
      <c r="F105" s="16" t="s">
        <v>66</v>
      </c>
      <c r="G105" s="16" t="s">
        <v>16</v>
      </c>
      <c r="H105" s="16" t="s">
        <v>43</v>
      </c>
      <c r="I105" s="16" t="s">
        <v>69</v>
      </c>
      <c r="J105" s="16" t="s">
        <v>60</v>
      </c>
      <c r="K105" s="16" t="s">
        <v>20</v>
      </c>
      <c r="L105" s="16" t="s">
        <v>20</v>
      </c>
      <c r="O105"/>
      <c r="P105"/>
    </row>
    <row r="106" spans="1:16" x14ac:dyDescent="0.25">
      <c r="A106" s="16" t="s">
        <v>180</v>
      </c>
      <c r="B106" s="13">
        <v>45682</v>
      </c>
      <c r="D106" s="16" t="s">
        <v>45</v>
      </c>
      <c r="E106" s="16" t="s">
        <v>76</v>
      </c>
      <c r="F106" s="16" t="s">
        <v>36</v>
      </c>
      <c r="G106" s="16" t="s">
        <v>16</v>
      </c>
      <c r="H106" s="16" t="s">
        <v>32</v>
      </c>
      <c r="I106" s="16" t="s">
        <v>69</v>
      </c>
      <c r="J106" s="16" t="s">
        <v>60</v>
      </c>
      <c r="K106" s="16" t="s">
        <v>39</v>
      </c>
      <c r="L106" s="16" t="s">
        <v>39</v>
      </c>
      <c r="O106"/>
      <c r="P106"/>
    </row>
    <row r="107" spans="1:16" x14ac:dyDescent="0.25">
      <c r="A107" s="16" t="s">
        <v>181</v>
      </c>
      <c r="B107" s="13">
        <v>45869</v>
      </c>
      <c r="C107" s="13">
        <v>45871</v>
      </c>
      <c r="D107" s="16" t="s">
        <v>13</v>
      </c>
      <c r="E107" s="16" t="s">
        <v>14</v>
      </c>
      <c r="F107" s="16" t="s">
        <v>30</v>
      </c>
      <c r="G107" s="16" t="s">
        <v>23</v>
      </c>
      <c r="H107" s="16" t="s">
        <v>92</v>
      </c>
      <c r="I107" s="16" t="s">
        <v>38</v>
      </c>
      <c r="J107" s="16" t="s">
        <v>60</v>
      </c>
      <c r="K107" s="16" t="s">
        <v>19</v>
      </c>
      <c r="L107" s="16" t="s">
        <v>20</v>
      </c>
      <c r="O107"/>
      <c r="P107"/>
    </row>
    <row r="108" spans="1:16" x14ac:dyDescent="0.25">
      <c r="A108" s="16" t="s">
        <v>182</v>
      </c>
      <c r="B108" s="13">
        <v>45900</v>
      </c>
      <c r="C108" s="13"/>
      <c r="D108" s="16" t="s">
        <v>49</v>
      </c>
      <c r="E108" s="16" t="s">
        <v>14</v>
      </c>
      <c r="F108" s="16" t="s">
        <v>36</v>
      </c>
      <c r="G108" s="16" t="s">
        <v>31</v>
      </c>
      <c r="H108" s="16" t="s">
        <v>59</v>
      </c>
      <c r="I108" s="16" t="s">
        <v>38</v>
      </c>
      <c r="J108" s="16" t="s">
        <v>26</v>
      </c>
      <c r="K108" s="16" t="s">
        <v>20</v>
      </c>
      <c r="L108" s="16" t="s">
        <v>20</v>
      </c>
      <c r="O108"/>
      <c r="P108"/>
    </row>
    <row r="109" spans="1:16" x14ac:dyDescent="0.25">
      <c r="A109" s="16" t="s">
        <v>183</v>
      </c>
      <c r="B109" s="13">
        <v>45755</v>
      </c>
      <c r="C109" s="13"/>
      <c r="D109" s="16" t="s">
        <v>28</v>
      </c>
      <c r="E109" s="16" t="s">
        <v>14</v>
      </c>
      <c r="F109" s="16" t="s">
        <v>41</v>
      </c>
      <c r="G109" s="16" t="s">
        <v>16</v>
      </c>
      <c r="H109" s="16"/>
      <c r="I109" s="16" t="s">
        <v>47</v>
      </c>
      <c r="J109" s="16" t="s">
        <v>60</v>
      </c>
      <c r="K109" s="16" t="s">
        <v>20</v>
      </c>
      <c r="L109" s="16" t="s">
        <v>39</v>
      </c>
      <c r="O109"/>
      <c r="P109"/>
    </row>
    <row r="110" spans="1:16" x14ac:dyDescent="0.25">
      <c r="A110" s="16" t="s">
        <v>184</v>
      </c>
      <c r="B110" s="12">
        <v>45718</v>
      </c>
      <c r="C110" s="16">
        <v>45720</v>
      </c>
      <c r="D110" s="16" t="s">
        <v>13</v>
      </c>
      <c r="E110" s="16" t="s">
        <v>76</v>
      </c>
      <c r="F110" s="16" t="s">
        <v>41</v>
      </c>
      <c r="G110" s="16" t="s">
        <v>42</v>
      </c>
      <c r="H110" s="16" t="s">
        <v>95</v>
      </c>
      <c r="I110" s="16" t="s">
        <v>25</v>
      </c>
      <c r="J110" s="16" t="s">
        <v>60</v>
      </c>
      <c r="K110" s="16" t="s">
        <v>19</v>
      </c>
      <c r="L110" s="16" t="s">
        <v>19</v>
      </c>
      <c r="O110"/>
      <c r="P110"/>
    </row>
    <row r="111" spans="1:16" x14ac:dyDescent="0.25">
      <c r="A111" s="16" t="s">
        <v>185</v>
      </c>
      <c r="B111" s="13">
        <v>45821</v>
      </c>
      <c r="C111" s="16">
        <v>45823</v>
      </c>
      <c r="D111" s="16" t="s">
        <v>13</v>
      </c>
      <c r="E111" s="16" t="s">
        <v>76</v>
      </c>
      <c r="F111" s="16" t="s">
        <v>66</v>
      </c>
      <c r="G111" s="16" t="s">
        <v>16</v>
      </c>
      <c r="H111" s="16" t="s">
        <v>92</v>
      </c>
      <c r="I111" s="16" t="s">
        <v>25</v>
      </c>
      <c r="J111" s="16" t="s">
        <v>26</v>
      </c>
      <c r="K111" s="16" t="s">
        <v>20</v>
      </c>
      <c r="L111" s="16" t="s">
        <v>20</v>
      </c>
      <c r="O111"/>
      <c r="P111"/>
    </row>
    <row r="112" spans="1:16" x14ac:dyDescent="0.25">
      <c r="A112" s="16" t="s">
        <v>186</v>
      </c>
      <c r="B112" s="13">
        <v>45986</v>
      </c>
      <c r="C112" s="16">
        <v>45988</v>
      </c>
      <c r="D112" s="16" t="s">
        <v>13</v>
      </c>
      <c r="E112" s="16" t="s">
        <v>58</v>
      </c>
      <c r="F112" s="16" t="s">
        <v>36</v>
      </c>
      <c r="G112" s="16" t="s">
        <v>55</v>
      </c>
      <c r="H112" s="16" t="s">
        <v>56</v>
      </c>
      <c r="I112" s="16" t="s">
        <v>52</v>
      </c>
      <c r="J112" s="16" t="s">
        <v>26</v>
      </c>
      <c r="K112" s="16" t="s">
        <v>19</v>
      </c>
      <c r="L112" s="16" t="s">
        <v>39</v>
      </c>
      <c r="O112"/>
      <c r="P112"/>
    </row>
    <row r="113" spans="1:16" x14ac:dyDescent="0.25">
      <c r="A113" s="16" t="s">
        <v>187</v>
      </c>
      <c r="B113" s="12">
        <v>45776</v>
      </c>
      <c r="D113" s="16" t="s">
        <v>45</v>
      </c>
      <c r="E113" s="16" t="s">
        <v>58</v>
      </c>
      <c r="F113" s="16" t="s">
        <v>41</v>
      </c>
      <c r="G113" s="16" t="s">
        <v>16</v>
      </c>
      <c r="H113" s="16" t="s">
        <v>73</v>
      </c>
      <c r="I113" s="16" t="s">
        <v>25</v>
      </c>
      <c r="J113" s="16" t="s">
        <v>34</v>
      </c>
      <c r="K113" s="16" t="s">
        <v>19</v>
      </c>
      <c r="L113" s="16" t="s">
        <v>39</v>
      </c>
      <c r="O113"/>
      <c r="P113"/>
    </row>
    <row r="114" spans="1:16" x14ac:dyDescent="0.25">
      <c r="A114" s="16" t="s">
        <v>188</v>
      </c>
      <c r="B114" s="12">
        <v>45804</v>
      </c>
      <c r="C114" s="13"/>
      <c r="D114" s="16" t="s">
        <v>13</v>
      </c>
      <c r="E114" s="16" t="s">
        <v>14</v>
      </c>
      <c r="F114" s="16" t="s">
        <v>22</v>
      </c>
      <c r="G114" s="16" t="s">
        <v>55</v>
      </c>
      <c r="H114" s="16" t="s">
        <v>92</v>
      </c>
      <c r="I114" s="16" t="s">
        <v>17</v>
      </c>
      <c r="J114" s="16" t="s">
        <v>60</v>
      </c>
      <c r="K114" s="16" t="s">
        <v>20</v>
      </c>
      <c r="L114" s="16" t="s">
        <v>19</v>
      </c>
      <c r="O114"/>
      <c r="P114"/>
    </row>
    <row r="115" spans="1:16" x14ac:dyDescent="0.25">
      <c r="A115" s="16" t="s">
        <v>189</v>
      </c>
      <c r="B115" s="13">
        <v>46014</v>
      </c>
      <c r="C115" s="13"/>
      <c r="D115" s="16" t="s">
        <v>49</v>
      </c>
      <c r="E115" s="16" t="s">
        <v>29</v>
      </c>
      <c r="F115" s="16" t="s">
        <v>22</v>
      </c>
      <c r="G115" s="16" t="s">
        <v>42</v>
      </c>
      <c r="H115" s="16" t="s">
        <v>136</v>
      </c>
      <c r="I115" s="16" t="s">
        <v>52</v>
      </c>
      <c r="J115" s="16" t="s">
        <v>60</v>
      </c>
      <c r="K115" s="16" t="s">
        <v>39</v>
      </c>
      <c r="L115" s="16" t="s">
        <v>20</v>
      </c>
      <c r="O115"/>
      <c r="P115"/>
    </row>
    <row r="116" spans="1:16" x14ac:dyDescent="0.25">
      <c r="A116" s="16" t="s">
        <v>190</v>
      </c>
      <c r="B116" s="13">
        <v>45679</v>
      </c>
      <c r="C116" s="13"/>
      <c r="D116" s="16" t="s">
        <v>28</v>
      </c>
      <c r="E116" s="16" t="s">
        <v>171</v>
      </c>
      <c r="F116" s="16" t="s">
        <v>50</v>
      </c>
      <c r="G116" s="16" t="s">
        <v>42</v>
      </c>
      <c r="H116" s="16" t="s">
        <v>51</v>
      </c>
      <c r="I116" s="16" t="s">
        <v>25</v>
      </c>
      <c r="J116" s="16" t="s">
        <v>60</v>
      </c>
      <c r="K116" s="16" t="s">
        <v>20</v>
      </c>
      <c r="L116" s="16" t="s">
        <v>19</v>
      </c>
      <c r="O116"/>
      <c r="P116"/>
    </row>
    <row r="117" spans="1:16" x14ac:dyDescent="0.25">
      <c r="A117" s="16" t="s">
        <v>191</v>
      </c>
      <c r="B117" s="12">
        <v>46022</v>
      </c>
      <c r="C117" s="13">
        <v>46029</v>
      </c>
      <c r="D117" s="16" t="s">
        <v>13</v>
      </c>
      <c r="E117" s="16" t="s">
        <v>14</v>
      </c>
      <c r="F117" s="16" t="s">
        <v>30</v>
      </c>
      <c r="G117" s="16" t="s">
        <v>23</v>
      </c>
      <c r="H117" s="16" t="s">
        <v>110</v>
      </c>
      <c r="I117" s="16" t="s">
        <v>69</v>
      </c>
      <c r="J117" s="16" t="s">
        <v>18</v>
      </c>
      <c r="K117" s="16" t="s">
        <v>20</v>
      </c>
      <c r="L117" s="16" t="s">
        <v>20</v>
      </c>
      <c r="O117"/>
      <c r="P117"/>
    </row>
    <row r="118" spans="1:16" x14ac:dyDescent="0.25">
      <c r="A118" s="16" t="s">
        <v>192</v>
      </c>
      <c r="B118" s="13">
        <v>45962</v>
      </c>
      <c r="C118" s="16">
        <v>45964</v>
      </c>
      <c r="D118" s="16" t="s">
        <v>13</v>
      </c>
      <c r="E118" s="16" t="s">
        <v>58</v>
      </c>
      <c r="F118" s="16" t="s">
        <v>144</v>
      </c>
      <c r="G118" s="16" t="s">
        <v>16</v>
      </c>
      <c r="H118" s="16" t="s">
        <v>37</v>
      </c>
      <c r="I118" s="16" t="s">
        <v>47</v>
      </c>
      <c r="J118" s="16" t="s">
        <v>34</v>
      </c>
      <c r="K118" s="16" t="s">
        <v>20</v>
      </c>
      <c r="L118" s="16" t="s">
        <v>20</v>
      </c>
      <c r="O118"/>
      <c r="P118"/>
    </row>
    <row r="119" spans="1:16" x14ac:dyDescent="0.25">
      <c r="A119" s="16" t="s">
        <v>193</v>
      </c>
      <c r="B119" s="13">
        <v>46022</v>
      </c>
      <c r="C119" s="16">
        <v>46026</v>
      </c>
      <c r="D119" s="16" t="s">
        <v>13</v>
      </c>
      <c r="E119" s="16" t="s">
        <v>58</v>
      </c>
      <c r="F119" s="16" t="s">
        <v>22</v>
      </c>
      <c r="G119" s="16" t="s">
        <v>31</v>
      </c>
      <c r="H119" s="16" t="s">
        <v>62</v>
      </c>
      <c r="I119" s="16" t="s">
        <v>69</v>
      </c>
      <c r="J119" s="16" t="s">
        <v>60</v>
      </c>
      <c r="K119" s="16" t="s">
        <v>19</v>
      </c>
      <c r="L119" s="16" t="s">
        <v>39</v>
      </c>
      <c r="O119"/>
      <c r="P119"/>
    </row>
    <row r="120" spans="1:16" x14ac:dyDescent="0.25">
      <c r="A120" s="16" t="s">
        <v>194</v>
      </c>
      <c r="B120" s="13">
        <v>45964</v>
      </c>
      <c r="C120" s="16">
        <v>45966</v>
      </c>
      <c r="D120" s="16" t="s">
        <v>49</v>
      </c>
      <c r="E120" s="16" t="s">
        <v>195</v>
      </c>
      <c r="F120" s="16" t="s">
        <v>41</v>
      </c>
      <c r="G120" s="16" t="s">
        <v>55</v>
      </c>
      <c r="H120" s="16" t="s">
        <v>77</v>
      </c>
      <c r="I120" s="16" t="s">
        <v>52</v>
      </c>
      <c r="J120" s="16" t="s">
        <v>26</v>
      </c>
      <c r="K120" s="16" t="s">
        <v>39</v>
      </c>
      <c r="L120" s="16" t="s">
        <v>20</v>
      </c>
      <c r="O120"/>
      <c r="P120"/>
    </row>
    <row r="121" spans="1:16" x14ac:dyDescent="0.25">
      <c r="A121" s="16" t="s">
        <v>196</v>
      </c>
      <c r="B121" s="12">
        <v>45842</v>
      </c>
      <c r="C121" s="13"/>
      <c r="D121" s="16" t="s">
        <v>49</v>
      </c>
      <c r="E121" s="16" t="s">
        <v>14</v>
      </c>
      <c r="F121" s="16" t="s">
        <v>54</v>
      </c>
      <c r="G121" s="16" t="s">
        <v>16</v>
      </c>
      <c r="H121" s="16" t="s">
        <v>56</v>
      </c>
      <c r="I121" s="16" t="s">
        <v>52</v>
      </c>
      <c r="J121" s="16" t="s">
        <v>26</v>
      </c>
      <c r="K121" s="16" t="s">
        <v>39</v>
      </c>
      <c r="L121" s="16" t="s">
        <v>19</v>
      </c>
      <c r="O121"/>
      <c r="P121"/>
    </row>
    <row r="122" spans="1:16" x14ac:dyDescent="0.25">
      <c r="A122" s="16" t="s">
        <v>197</v>
      </c>
      <c r="B122" s="13">
        <v>46013</v>
      </c>
      <c r="C122" s="13"/>
      <c r="D122" s="16" t="s">
        <v>49</v>
      </c>
      <c r="E122" s="16" t="s">
        <v>14</v>
      </c>
      <c r="F122" s="16" t="s">
        <v>15</v>
      </c>
      <c r="G122" s="16" t="s">
        <v>16</v>
      </c>
      <c r="H122" s="16" t="s">
        <v>92</v>
      </c>
      <c r="I122" s="16" t="s">
        <v>69</v>
      </c>
      <c r="J122" s="16" t="s">
        <v>60</v>
      </c>
      <c r="K122" s="16" t="s">
        <v>20</v>
      </c>
      <c r="L122" s="16" t="s">
        <v>39</v>
      </c>
      <c r="O122"/>
      <c r="P122"/>
    </row>
    <row r="123" spans="1:16" x14ac:dyDescent="0.25">
      <c r="A123" s="16" t="s">
        <v>198</v>
      </c>
      <c r="B123" s="13">
        <v>45937</v>
      </c>
      <c r="D123" s="16" t="s">
        <v>45</v>
      </c>
      <c r="E123" s="16" t="s">
        <v>76</v>
      </c>
      <c r="F123" s="16" t="s">
        <v>50</v>
      </c>
      <c r="G123" s="16" t="s">
        <v>55</v>
      </c>
      <c r="H123" s="16" t="s">
        <v>24</v>
      </c>
      <c r="I123" s="16" t="s">
        <v>25</v>
      </c>
      <c r="J123" s="16" t="s">
        <v>60</v>
      </c>
      <c r="K123" s="16" t="s">
        <v>39</v>
      </c>
      <c r="L123" s="16" t="s">
        <v>20</v>
      </c>
      <c r="O123"/>
      <c r="P123"/>
    </row>
    <row r="124" spans="1:16" x14ac:dyDescent="0.25">
      <c r="A124" s="16" t="s">
        <v>199</v>
      </c>
      <c r="B124" s="13">
        <v>45874</v>
      </c>
      <c r="C124" s="13">
        <v>45876</v>
      </c>
      <c r="D124" s="16" t="s">
        <v>13</v>
      </c>
      <c r="E124" s="16" t="s">
        <v>14</v>
      </c>
      <c r="F124" s="16" t="s">
        <v>41</v>
      </c>
      <c r="G124" s="16" t="s">
        <v>42</v>
      </c>
      <c r="H124" s="16" t="s">
        <v>136</v>
      </c>
      <c r="I124" s="16" t="s">
        <v>33</v>
      </c>
      <c r="J124" s="16" t="s">
        <v>18</v>
      </c>
      <c r="K124" s="16" t="s">
        <v>20</v>
      </c>
      <c r="L124" s="16" t="s">
        <v>39</v>
      </c>
      <c r="O124"/>
      <c r="P124"/>
    </row>
    <row r="125" spans="1:16" x14ac:dyDescent="0.25">
      <c r="A125" s="16" t="s">
        <v>200</v>
      </c>
      <c r="B125" s="13">
        <v>45946</v>
      </c>
      <c r="C125" s="13">
        <v>45950</v>
      </c>
      <c r="D125" s="16" t="s">
        <v>28</v>
      </c>
      <c r="E125" s="16" t="s">
        <v>29</v>
      </c>
      <c r="F125" s="16" t="s">
        <v>30</v>
      </c>
      <c r="G125" s="16" t="s">
        <v>23</v>
      </c>
      <c r="H125" s="16" t="s">
        <v>136</v>
      </c>
      <c r="I125" s="16" t="s">
        <v>69</v>
      </c>
      <c r="J125" s="16" t="s">
        <v>26</v>
      </c>
      <c r="K125" s="16" t="s">
        <v>20</v>
      </c>
      <c r="L125" s="16" t="s">
        <v>19</v>
      </c>
      <c r="O125"/>
      <c r="P125"/>
    </row>
    <row r="126" spans="1:16" x14ac:dyDescent="0.25">
      <c r="A126" s="16" t="s">
        <v>201</v>
      </c>
      <c r="B126" s="13">
        <v>45701</v>
      </c>
      <c r="C126" s="13"/>
      <c r="D126" s="16" t="s">
        <v>49</v>
      </c>
      <c r="E126" s="16" t="s">
        <v>14</v>
      </c>
      <c r="F126" s="16" t="s">
        <v>30</v>
      </c>
      <c r="G126" s="16" t="s">
        <v>42</v>
      </c>
      <c r="H126" s="16" t="s">
        <v>134</v>
      </c>
      <c r="I126" s="16" t="s">
        <v>38</v>
      </c>
      <c r="J126" s="16" t="s">
        <v>34</v>
      </c>
      <c r="K126" s="16" t="s">
        <v>19</v>
      </c>
      <c r="L126" s="16" t="s">
        <v>39</v>
      </c>
      <c r="O126"/>
      <c r="P126"/>
    </row>
    <row r="127" spans="1:16" x14ac:dyDescent="0.25">
      <c r="A127" s="16" t="s">
        <v>202</v>
      </c>
      <c r="B127" s="13">
        <v>46004</v>
      </c>
      <c r="C127" s="16">
        <v>46010</v>
      </c>
      <c r="D127" s="16" t="s">
        <v>13</v>
      </c>
      <c r="E127" s="16" t="s">
        <v>58</v>
      </c>
      <c r="F127" s="16" t="s">
        <v>22</v>
      </c>
      <c r="G127" s="16" t="s">
        <v>16</v>
      </c>
      <c r="H127" s="16" t="s">
        <v>151</v>
      </c>
      <c r="I127" s="16" t="s">
        <v>38</v>
      </c>
      <c r="J127" s="16" t="s">
        <v>18</v>
      </c>
      <c r="K127" s="16" t="s">
        <v>20</v>
      </c>
      <c r="L127" s="16" t="s">
        <v>39</v>
      </c>
      <c r="O127"/>
      <c r="P127"/>
    </row>
    <row r="128" spans="1:16" x14ac:dyDescent="0.25">
      <c r="A128" s="16" t="s">
        <v>203</v>
      </c>
      <c r="B128" s="13">
        <v>45763</v>
      </c>
      <c r="C128" s="13">
        <v>45763</v>
      </c>
      <c r="D128" s="16" t="s">
        <v>45</v>
      </c>
      <c r="E128" s="16" t="s">
        <v>14</v>
      </c>
      <c r="F128" s="16" t="s">
        <v>41</v>
      </c>
      <c r="G128" s="16" t="s">
        <v>16</v>
      </c>
      <c r="H128" s="16" t="s">
        <v>51</v>
      </c>
      <c r="I128" s="16" t="s">
        <v>33</v>
      </c>
      <c r="J128" s="16" t="s">
        <v>60</v>
      </c>
      <c r="K128" s="16" t="s">
        <v>19</v>
      </c>
      <c r="L128" s="16" t="s">
        <v>20</v>
      </c>
      <c r="O128"/>
      <c r="P128"/>
    </row>
    <row r="129" spans="1:16" x14ac:dyDescent="0.25">
      <c r="A129" s="16" t="s">
        <v>204</v>
      </c>
      <c r="B129" s="13">
        <v>46002</v>
      </c>
      <c r="C129" s="16">
        <v>46002</v>
      </c>
      <c r="D129" s="16" t="s">
        <v>49</v>
      </c>
      <c r="E129" s="16" t="s">
        <v>76</v>
      </c>
      <c r="F129" s="16" t="s">
        <v>50</v>
      </c>
      <c r="G129" s="16" t="s">
        <v>55</v>
      </c>
      <c r="H129" s="16" t="s">
        <v>46</v>
      </c>
      <c r="I129" s="16" t="s">
        <v>17</v>
      </c>
      <c r="J129" s="16" t="s">
        <v>26</v>
      </c>
      <c r="K129" s="16" t="s">
        <v>19</v>
      </c>
      <c r="L129" s="16" t="s">
        <v>19</v>
      </c>
      <c r="O129"/>
      <c r="P129"/>
    </row>
    <row r="130" spans="1:16" x14ac:dyDescent="0.25">
      <c r="A130" s="16" t="s">
        <v>205</v>
      </c>
      <c r="B130" s="12">
        <v>45729</v>
      </c>
      <c r="C130" s="13"/>
      <c r="D130" s="16" t="s">
        <v>13</v>
      </c>
      <c r="E130" s="16" t="s">
        <v>14</v>
      </c>
      <c r="F130" s="16" t="s">
        <v>66</v>
      </c>
      <c r="G130" s="16" t="s">
        <v>16</v>
      </c>
      <c r="H130" s="16" t="s">
        <v>46</v>
      </c>
      <c r="I130" s="16" t="s">
        <v>25</v>
      </c>
      <c r="J130" s="16" t="s">
        <v>26</v>
      </c>
      <c r="K130" s="16" t="s">
        <v>19</v>
      </c>
      <c r="L130" s="16" t="s">
        <v>39</v>
      </c>
      <c r="O130"/>
      <c r="P130"/>
    </row>
    <row r="131" spans="1:16" x14ac:dyDescent="0.25">
      <c r="A131" s="16" t="s">
        <v>206</v>
      </c>
      <c r="B131" s="13">
        <v>45673</v>
      </c>
      <c r="C131" s="16">
        <v>45676</v>
      </c>
      <c r="D131" s="16" t="s">
        <v>45</v>
      </c>
      <c r="E131" s="16" t="s">
        <v>58</v>
      </c>
      <c r="F131" s="16" t="s">
        <v>54</v>
      </c>
      <c r="G131" s="16" t="s">
        <v>42</v>
      </c>
      <c r="H131" s="16" t="s">
        <v>56</v>
      </c>
      <c r="I131" s="16" t="s">
        <v>52</v>
      </c>
      <c r="J131" s="16" t="s">
        <v>26</v>
      </c>
      <c r="K131" s="16" t="s">
        <v>20</v>
      </c>
      <c r="L131" s="16" t="s">
        <v>20</v>
      </c>
      <c r="O131"/>
      <c r="P131"/>
    </row>
    <row r="132" spans="1:16" x14ac:dyDescent="0.25">
      <c r="A132" s="16" t="s">
        <v>207</v>
      </c>
      <c r="B132" s="13">
        <v>45875</v>
      </c>
      <c r="C132" s="13"/>
      <c r="D132" s="16" t="s">
        <v>49</v>
      </c>
      <c r="E132" s="16" t="s">
        <v>14</v>
      </c>
      <c r="F132" s="16" t="s">
        <v>15</v>
      </c>
      <c r="G132" s="16" t="s">
        <v>42</v>
      </c>
      <c r="H132" s="16" t="s">
        <v>106</v>
      </c>
      <c r="I132" s="16" t="s">
        <v>33</v>
      </c>
      <c r="J132" s="16" t="s">
        <v>18</v>
      </c>
      <c r="K132" s="16" t="s">
        <v>20</v>
      </c>
      <c r="L132" s="16" t="s">
        <v>19</v>
      </c>
      <c r="O132"/>
      <c r="P132"/>
    </row>
    <row r="133" spans="1:16" x14ac:dyDescent="0.25">
      <c r="A133" s="16" t="s">
        <v>208</v>
      </c>
      <c r="B133" s="13">
        <v>45742</v>
      </c>
      <c r="C133" s="16">
        <v>45748</v>
      </c>
      <c r="D133" s="16" t="s">
        <v>45</v>
      </c>
      <c r="E133" s="16" t="s">
        <v>76</v>
      </c>
      <c r="F133" s="16" t="s">
        <v>15</v>
      </c>
      <c r="G133" s="16" t="s">
        <v>42</v>
      </c>
      <c r="H133" s="16" t="s">
        <v>110</v>
      </c>
      <c r="I133" s="16" t="s">
        <v>17</v>
      </c>
      <c r="J133" s="16" t="s">
        <v>26</v>
      </c>
      <c r="K133" s="16" t="s">
        <v>39</v>
      </c>
      <c r="L133" s="16" t="s">
        <v>19</v>
      </c>
      <c r="O133"/>
      <c r="P133"/>
    </row>
    <row r="134" spans="1:16" x14ac:dyDescent="0.25">
      <c r="A134" s="16" t="s">
        <v>209</v>
      </c>
      <c r="B134" s="13">
        <v>45725</v>
      </c>
      <c r="C134" s="13"/>
      <c r="D134" s="16" t="s">
        <v>28</v>
      </c>
      <c r="E134" s="16" t="s">
        <v>29</v>
      </c>
      <c r="F134" s="16" t="s">
        <v>210</v>
      </c>
      <c r="G134" s="16" t="s">
        <v>31</v>
      </c>
      <c r="H134" s="16" t="s">
        <v>128</v>
      </c>
      <c r="I134" s="16" t="s">
        <v>25</v>
      </c>
      <c r="J134" s="16" t="s">
        <v>26</v>
      </c>
      <c r="K134" s="16" t="s">
        <v>39</v>
      </c>
      <c r="L134" s="16" t="s">
        <v>20</v>
      </c>
      <c r="O134"/>
      <c r="P134"/>
    </row>
    <row r="135" spans="1:16" x14ac:dyDescent="0.25">
      <c r="A135" s="16" t="s">
        <v>211</v>
      </c>
      <c r="B135" s="12">
        <v>45659</v>
      </c>
      <c r="C135" s="16">
        <v>45660</v>
      </c>
      <c r="D135" s="16" t="s">
        <v>28</v>
      </c>
      <c r="E135" s="16" t="s">
        <v>76</v>
      </c>
      <c r="F135" s="16" t="s">
        <v>15</v>
      </c>
      <c r="G135" s="16" t="s">
        <v>31</v>
      </c>
      <c r="H135" s="16" t="s">
        <v>110</v>
      </c>
      <c r="I135" s="16" t="s">
        <v>33</v>
      </c>
      <c r="J135" s="16" t="s">
        <v>34</v>
      </c>
      <c r="K135" s="16" t="s">
        <v>20</v>
      </c>
      <c r="L135" s="16" t="s">
        <v>20</v>
      </c>
      <c r="O135"/>
      <c r="P135"/>
    </row>
    <row r="136" spans="1:16" x14ac:dyDescent="0.25">
      <c r="A136" s="16" t="s">
        <v>212</v>
      </c>
      <c r="B136" s="13">
        <v>45681</v>
      </c>
      <c r="C136" s="13"/>
      <c r="D136" s="16" t="s">
        <v>28</v>
      </c>
      <c r="E136" s="16" t="s">
        <v>14</v>
      </c>
      <c r="F136" s="16" t="s">
        <v>66</v>
      </c>
      <c r="G136" s="16" t="s">
        <v>23</v>
      </c>
      <c r="H136" s="16" t="s">
        <v>59</v>
      </c>
      <c r="I136" s="16" t="s">
        <v>17</v>
      </c>
      <c r="J136" s="16" t="s">
        <v>26</v>
      </c>
      <c r="K136" s="16" t="s">
        <v>19</v>
      </c>
      <c r="L136" s="16" t="s">
        <v>39</v>
      </c>
      <c r="O136"/>
      <c r="P136"/>
    </row>
    <row r="137" spans="1:16" x14ac:dyDescent="0.25">
      <c r="A137" s="16" t="s">
        <v>213</v>
      </c>
      <c r="B137" s="12">
        <v>45700</v>
      </c>
      <c r="C137" s="13">
        <v>45701</v>
      </c>
      <c r="D137" s="16" t="s">
        <v>28</v>
      </c>
      <c r="E137" s="16" t="s">
        <v>14</v>
      </c>
      <c r="F137" s="16" t="s">
        <v>36</v>
      </c>
      <c r="G137" s="16" t="s">
        <v>31</v>
      </c>
      <c r="H137" s="16" t="s">
        <v>136</v>
      </c>
      <c r="I137" s="16" t="s">
        <v>69</v>
      </c>
      <c r="J137" s="16" t="s">
        <v>26</v>
      </c>
      <c r="K137" s="16" t="s">
        <v>39</v>
      </c>
      <c r="L137" s="16" t="s">
        <v>20</v>
      </c>
      <c r="O137"/>
      <c r="P137"/>
    </row>
    <row r="138" spans="1:16" x14ac:dyDescent="0.25">
      <c r="A138" s="16" t="s">
        <v>214</v>
      </c>
      <c r="B138" s="13">
        <v>45902</v>
      </c>
      <c r="C138" s="13"/>
      <c r="D138" s="16" t="s">
        <v>13</v>
      </c>
      <c r="E138" s="16" t="s">
        <v>85</v>
      </c>
      <c r="F138" s="16" t="s">
        <v>103</v>
      </c>
      <c r="G138" s="16" t="s">
        <v>42</v>
      </c>
      <c r="H138" s="16" t="s">
        <v>128</v>
      </c>
      <c r="I138" s="16" t="s">
        <v>52</v>
      </c>
      <c r="J138" s="16" t="s">
        <v>18</v>
      </c>
      <c r="K138" s="16" t="s">
        <v>39</v>
      </c>
      <c r="L138" s="16" t="s">
        <v>19</v>
      </c>
      <c r="O138"/>
      <c r="P138"/>
    </row>
    <row r="139" spans="1:16" x14ac:dyDescent="0.25">
      <c r="A139" s="16" t="s">
        <v>215</v>
      </c>
      <c r="B139" s="13">
        <v>45979</v>
      </c>
      <c r="C139" s="16">
        <v>45982</v>
      </c>
      <c r="D139" s="16" t="s">
        <v>49</v>
      </c>
      <c r="E139" s="16" t="s">
        <v>58</v>
      </c>
      <c r="F139" s="16" t="s">
        <v>30</v>
      </c>
      <c r="G139" s="16" t="s">
        <v>55</v>
      </c>
      <c r="H139" s="16" t="s">
        <v>77</v>
      </c>
      <c r="I139" s="16" t="s">
        <v>25</v>
      </c>
      <c r="J139" s="16" t="s">
        <v>34</v>
      </c>
      <c r="K139" s="16" t="s">
        <v>39</v>
      </c>
      <c r="L139" s="16" t="s">
        <v>20</v>
      </c>
      <c r="O139"/>
      <c r="P139"/>
    </row>
    <row r="140" spans="1:16" x14ac:dyDescent="0.25">
      <c r="A140" s="16" t="s">
        <v>216</v>
      </c>
      <c r="B140" s="13">
        <v>45995</v>
      </c>
      <c r="C140" s="13">
        <v>46001</v>
      </c>
      <c r="D140" s="16" t="s">
        <v>45</v>
      </c>
      <c r="E140" s="16" t="s">
        <v>171</v>
      </c>
      <c r="F140" s="16" t="s">
        <v>66</v>
      </c>
      <c r="G140" s="16" t="s">
        <v>23</v>
      </c>
      <c r="H140" s="16" t="s">
        <v>110</v>
      </c>
      <c r="I140" s="16" t="s">
        <v>52</v>
      </c>
      <c r="J140" s="16" t="s">
        <v>60</v>
      </c>
      <c r="K140" s="16" t="s">
        <v>39</v>
      </c>
      <c r="L140" s="16" t="s">
        <v>20</v>
      </c>
      <c r="O140"/>
      <c r="P140"/>
    </row>
    <row r="141" spans="1:16" x14ac:dyDescent="0.25">
      <c r="A141" s="16" t="s">
        <v>217</v>
      </c>
      <c r="B141" s="13">
        <v>45949</v>
      </c>
      <c r="C141" s="13">
        <v>45951</v>
      </c>
      <c r="D141" s="16" t="s">
        <v>28</v>
      </c>
      <c r="E141" s="16" t="s">
        <v>29</v>
      </c>
      <c r="F141" s="16" t="s">
        <v>22</v>
      </c>
      <c r="G141" s="16" t="s">
        <v>55</v>
      </c>
      <c r="H141" s="16" t="s">
        <v>46</v>
      </c>
      <c r="I141" s="16" t="s">
        <v>25</v>
      </c>
      <c r="J141" s="16" t="s">
        <v>60</v>
      </c>
      <c r="K141" s="16" t="s">
        <v>39</v>
      </c>
      <c r="L141" s="16" t="s">
        <v>39</v>
      </c>
      <c r="O141"/>
      <c r="P141"/>
    </row>
    <row r="142" spans="1:16" x14ac:dyDescent="0.25">
      <c r="A142" s="16" t="s">
        <v>218</v>
      </c>
      <c r="B142" s="13">
        <v>45973</v>
      </c>
      <c r="C142" s="13"/>
      <c r="D142" s="16" t="s">
        <v>28</v>
      </c>
      <c r="E142" s="16" t="s">
        <v>14</v>
      </c>
      <c r="F142" s="16" t="s">
        <v>54</v>
      </c>
      <c r="G142" s="16" t="s">
        <v>55</v>
      </c>
      <c r="H142" s="16" t="s">
        <v>46</v>
      </c>
      <c r="I142" s="16" t="s">
        <v>17</v>
      </c>
      <c r="J142" s="16" t="s">
        <v>34</v>
      </c>
      <c r="K142" s="16" t="s">
        <v>19</v>
      </c>
      <c r="L142" s="16" t="s">
        <v>39</v>
      </c>
      <c r="O142"/>
      <c r="P142"/>
    </row>
    <row r="143" spans="1:16" x14ac:dyDescent="0.25">
      <c r="A143" s="16" t="s">
        <v>219</v>
      </c>
      <c r="B143" s="13">
        <v>45971</v>
      </c>
      <c r="C143" s="13">
        <v>45971</v>
      </c>
      <c r="D143" s="16" t="s">
        <v>49</v>
      </c>
      <c r="E143" s="16" t="s">
        <v>14</v>
      </c>
      <c r="F143" s="16" t="s">
        <v>22</v>
      </c>
      <c r="G143" s="16" t="s">
        <v>42</v>
      </c>
      <c r="H143" s="16" t="s">
        <v>151</v>
      </c>
      <c r="I143" s="16" t="s">
        <v>52</v>
      </c>
      <c r="J143" s="16" t="s">
        <v>34</v>
      </c>
      <c r="K143" s="16" t="s">
        <v>39</v>
      </c>
      <c r="L143" s="16" t="s">
        <v>39</v>
      </c>
      <c r="O143"/>
      <c r="P143"/>
    </row>
    <row r="144" spans="1:16" x14ac:dyDescent="0.25">
      <c r="A144" s="16" t="s">
        <v>220</v>
      </c>
      <c r="B144" s="13">
        <v>45797</v>
      </c>
      <c r="C144" s="16">
        <v>45798</v>
      </c>
      <c r="D144" s="16" t="s">
        <v>13</v>
      </c>
      <c r="E144" s="16" t="s">
        <v>58</v>
      </c>
      <c r="F144" s="16" t="s">
        <v>64</v>
      </c>
      <c r="G144" s="16" t="s">
        <v>23</v>
      </c>
      <c r="H144" s="16" t="s">
        <v>128</v>
      </c>
      <c r="I144" s="16" t="s">
        <v>38</v>
      </c>
      <c r="J144" s="16" t="s">
        <v>60</v>
      </c>
      <c r="K144" s="16" t="s">
        <v>39</v>
      </c>
      <c r="L144" s="16" t="s">
        <v>19</v>
      </c>
      <c r="O144"/>
      <c r="P144"/>
    </row>
    <row r="145" spans="1:16" x14ac:dyDescent="0.25">
      <c r="A145" s="16" t="s">
        <v>221</v>
      </c>
      <c r="B145" s="13">
        <v>45854</v>
      </c>
      <c r="C145" s="13">
        <v>45855</v>
      </c>
      <c r="D145" s="16" t="s">
        <v>45</v>
      </c>
      <c r="E145" s="16" t="s">
        <v>14</v>
      </c>
      <c r="F145" s="16" t="s">
        <v>15</v>
      </c>
      <c r="G145" s="16" t="s">
        <v>55</v>
      </c>
      <c r="H145" s="16" t="s">
        <v>110</v>
      </c>
      <c r="I145" s="16" t="s">
        <v>47</v>
      </c>
      <c r="J145" s="16" t="s">
        <v>26</v>
      </c>
      <c r="K145" s="16" t="s">
        <v>20</v>
      </c>
      <c r="L145" s="16" t="s">
        <v>19</v>
      </c>
      <c r="O145"/>
      <c r="P145"/>
    </row>
    <row r="146" spans="1:16" x14ac:dyDescent="0.25">
      <c r="A146" s="16" t="s">
        <v>222</v>
      </c>
      <c r="B146" s="13">
        <v>45693</v>
      </c>
      <c r="C146" s="13">
        <v>45700</v>
      </c>
      <c r="D146" s="16" t="s">
        <v>13</v>
      </c>
      <c r="E146" s="16" t="s">
        <v>29</v>
      </c>
      <c r="F146" s="16" t="s">
        <v>15</v>
      </c>
      <c r="G146" s="16" t="s">
        <v>16</v>
      </c>
      <c r="H146" s="16" t="s">
        <v>32</v>
      </c>
      <c r="I146" s="16" t="s">
        <v>69</v>
      </c>
      <c r="J146" s="16" t="s">
        <v>60</v>
      </c>
      <c r="K146" s="16" t="s">
        <v>39</v>
      </c>
      <c r="L146" s="16" t="s">
        <v>39</v>
      </c>
      <c r="O146"/>
      <c r="P146"/>
    </row>
    <row r="147" spans="1:16" x14ac:dyDescent="0.25">
      <c r="A147" s="16" t="s">
        <v>223</v>
      </c>
      <c r="B147" s="13">
        <v>45670</v>
      </c>
      <c r="C147" s="13"/>
      <c r="D147" s="16" t="s">
        <v>13</v>
      </c>
      <c r="E147" s="16" t="s">
        <v>14</v>
      </c>
      <c r="F147" s="16" t="s">
        <v>22</v>
      </c>
      <c r="G147" s="16" t="s">
        <v>31</v>
      </c>
      <c r="H147" s="16"/>
      <c r="I147" s="16" t="s">
        <v>33</v>
      </c>
      <c r="J147" s="16" t="s">
        <v>34</v>
      </c>
      <c r="K147" s="16" t="s">
        <v>39</v>
      </c>
      <c r="L147" s="16" t="s">
        <v>20</v>
      </c>
      <c r="O147"/>
      <c r="P147"/>
    </row>
    <row r="148" spans="1:16" x14ac:dyDescent="0.25">
      <c r="A148" s="16" t="s">
        <v>224</v>
      </c>
      <c r="B148" s="13">
        <v>45680</v>
      </c>
      <c r="C148" s="16">
        <v>45682</v>
      </c>
      <c r="D148" s="16" t="s">
        <v>28</v>
      </c>
      <c r="E148" s="16" t="s">
        <v>58</v>
      </c>
      <c r="F148" s="16" t="s">
        <v>30</v>
      </c>
      <c r="G148" s="16" t="s">
        <v>55</v>
      </c>
      <c r="H148" s="16" t="s">
        <v>62</v>
      </c>
      <c r="I148" s="16" t="s">
        <v>25</v>
      </c>
      <c r="J148" s="16" t="s">
        <v>60</v>
      </c>
      <c r="K148" s="16" t="s">
        <v>39</v>
      </c>
      <c r="L148" s="16" t="s">
        <v>19</v>
      </c>
      <c r="O148"/>
      <c r="P148"/>
    </row>
    <row r="149" spans="1:16" x14ac:dyDescent="0.25">
      <c r="A149" s="16" t="s">
        <v>225</v>
      </c>
      <c r="B149" s="13">
        <v>45825</v>
      </c>
      <c r="C149" s="16">
        <v>45826</v>
      </c>
      <c r="D149" s="16" t="s">
        <v>49</v>
      </c>
      <c r="E149" s="16" t="s">
        <v>76</v>
      </c>
      <c r="F149" s="16" t="s">
        <v>15</v>
      </c>
      <c r="G149" s="16" t="s">
        <v>42</v>
      </c>
      <c r="H149" s="16" t="s">
        <v>43</v>
      </c>
      <c r="I149" s="16" t="s">
        <v>69</v>
      </c>
      <c r="J149" s="16" t="s">
        <v>34</v>
      </c>
      <c r="K149" s="16" t="s">
        <v>39</v>
      </c>
      <c r="L149" s="16" t="s">
        <v>20</v>
      </c>
      <c r="O149"/>
      <c r="P149"/>
    </row>
    <row r="150" spans="1:16" x14ac:dyDescent="0.25">
      <c r="A150" s="16" t="s">
        <v>226</v>
      </c>
      <c r="B150" s="13">
        <v>45813</v>
      </c>
      <c r="C150" s="16">
        <v>45818</v>
      </c>
      <c r="D150" s="16" t="s">
        <v>49</v>
      </c>
      <c r="E150" s="16" t="s">
        <v>76</v>
      </c>
      <c r="F150" s="16" t="s">
        <v>50</v>
      </c>
      <c r="G150" s="16" t="s">
        <v>42</v>
      </c>
      <c r="H150" s="16" t="s">
        <v>32</v>
      </c>
      <c r="I150" s="16" t="s">
        <v>52</v>
      </c>
      <c r="J150" s="16" t="s">
        <v>60</v>
      </c>
      <c r="K150" s="16" t="s">
        <v>20</v>
      </c>
      <c r="L150" s="16" t="s">
        <v>19</v>
      </c>
      <c r="O150"/>
      <c r="P150"/>
    </row>
    <row r="151" spans="1:16" x14ac:dyDescent="0.25">
      <c r="A151" s="16" t="s">
        <v>227</v>
      </c>
      <c r="B151" s="13">
        <v>45729</v>
      </c>
      <c r="C151" s="13"/>
      <c r="D151" s="16" t="s">
        <v>49</v>
      </c>
      <c r="E151" s="16" t="s">
        <v>14</v>
      </c>
      <c r="F151" s="16" t="s">
        <v>228</v>
      </c>
      <c r="G151" s="16" t="s">
        <v>42</v>
      </c>
      <c r="H151" s="16" t="s">
        <v>134</v>
      </c>
      <c r="I151" s="16" t="s">
        <v>25</v>
      </c>
      <c r="J151" s="16" t="s">
        <v>34</v>
      </c>
      <c r="K151" s="16" t="s">
        <v>19</v>
      </c>
      <c r="L151" s="16" t="s">
        <v>39</v>
      </c>
      <c r="O151"/>
      <c r="P151"/>
    </row>
    <row r="152" spans="1:16" x14ac:dyDescent="0.25">
      <c r="A152" s="16" t="s">
        <v>229</v>
      </c>
      <c r="B152" s="13">
        <v>45723</v>
      </c>
      <c r="C152" s="13"/>
      <c r="D152" s="16" t="s">
        <v>49</v>
      </c>
      <c r="E152" s="16" t="s">
        <v>14</v>
      </c>
      <c r="F152" s="16" t="s">
        <v>66</v>
      </c>
      <c r="G152" s="16" t="s">
        <v>16</v>
      </c>
      <c r="H152" s="16"/>
      <c r="I152" s="16" t="s">
        <v>33</v>
      </c>
      <c r="J152" s="16" t="s">
        <v>34</v>
      </c>
      <c r="K152" s="16" t="s">
        <v>20</v>
      </c>
      <c r="L152" s="16" t="s">
        <v>19</v>
      </c>
      <c r="O152"/>
      <c r="P152"/>
    </row>
    <row r="153" spans="1:16" x14ac:dyDescent="0.25">
      <c r="A153" s="16" t="s">
        <v>230</v>
      </c>
      <c r="B153" s="13">
        <v>45734</v>
      </c>
      <c r="D153" s="16" t="s">
        <v>45</v>
      </c>
      <c r="E153" s="16" t="s">
        <v>76</v>
      </c>
      <c r="F153" s="16" t="s">
        <v>64</v>
      </c>
      <c r="G153" s="16" t="s">
        <v>31</v>
      </c>
      <c r="H153" s="16" t="s">
        <v>79</v>
      </c>
      <c r="I153" s="16" t="s">
        <v>25</v>
      </c>
      <c r="J153" s="16" t="s">
        <v>60</v>
      </c>
      <c r="K153" s="16" t="s">
        <v>39</v>
      </c>
      <c r="L153" s="16" t="s">
        <v>19</v>
      </c>
      <c r="O153"/>
      <c r="P153"/>
    </row>
    <row r="154" spans="1:16" x14ac:dyDescent="0.25">
      <c r="A154" s="16" t="s">
        <v>231</v>
      </c>
      <c r="B154" s="13">
        <v>45936</v>
      </c>
      <c r="C154" s="13">
        <v>45937</v>
      </c>
      <c r="D154" s="16" t="s">
        <v>49</v>
      </c>
      <c r="E154" s="16" t="s">
        <v>14</v>
      </c>
      <c r="F154" s="16" t="s">
        <v>15</v>
      </c>
      <c r="G154" s="16" t="s">
        <v>42</v>
      </c>
      <c r="H154" s="16" t="s">
        <v>151</v>
      </c>
      <c r="I154" s="16" t="s">
        <v>52</v>
      </c>
      <c r="J154" s="16" t="s">
        <v>26</v>
      </c>
      <c r="K154" s="16" t="s">
        <v>39</v>
      </c>
      <c r="L154" s="16" t="s">
        <v>19</v>
      </c>
      <c r="O154"/>
      <c r="P154"/>
    </row>
    <row r="155" spans="1:16" x14ac:dyDescent="0.25">
      <c r="A155" s="16" t="s">
        <v>232</v>
      </c>
      <c r="B155" s="13">
        <v>45686</v>
      </c>
      <c r="C155" s="13">
        <v>45688</v>
      </c>
      <c r="D155" s="16" t="s">
        <v>28</v>
      </c>
      <c r="E155" s="16" t="s">
        <v>29</v>
      </c>
      <c r="F155" s="16" t="s">
        <v>54</v>
      </c>
      <c r="G155" s="16" t="s">
        <v>23</v>
      </c>
      <c r="H155" s="16" t="s">
        <v>136</v>
      </c>
      <c r="I155" s="16" t="s">
        <v>38</v>
      </c>
      <c r="J155" s="16" t="s">
        <v>34</v>
      </c>
      <c r="K155" s="16" t="s">
        <v>20</v>
      </c>
      <c r="L155" s="16" t="s">
        <v>19</v>
      </c>
      <c r="O155"/>
      <c r="P155"/>
    </row>
    <row r="156" spans="1:16" x14ac:dyDescent="0.25">
      <c r="A156" s="16" t="s">
        <v>233</v>
      </c>
      <c r="B156" s="12">
        <v>45909</v>
      </c>
      <c r="C156" s="13"/>
      <c r="D156" s="16" t="s">
        <v>13</v>
      </c>
      <c r="E156" s="16" t="s">
        <v>14</v>
      </c>
      <c r="F156" s="16" t="s">
        <v>22</v>
      </c>
      <c r="G156" s="16" t="s">
        <v>23</v>
      </c>
      <c r="H156" s="16" t="s">
        <v>95</v>
      </c>
      <c r="I156" s="16" t="s">
        <v>52</v>
      </c>
      <c r="J156" s="16" t="s">
        <v>18</v>
      </c>
      <c r="K156" s="16" t="s">
        <v>39</v>
      </c>
      <c r="L156" s="16" t="s">
        <v>20</v>
      </c>
      <c r="O156"/>
      <c r="P156"/>
    </row>
    <row r="157" spans="1:16" x14ac:dyDescent="0.25">
      <c r="A157" s="16" t="s">
        <v>234</v>
      </c>
      <c r="B157" s="12">
        <v>45730</v>
      </c>
      <c r="C157" s="13">
        <v>45730</v>
      </c>
      <c r="D157" s="16" t="s">
        <v>49</v>
      </c>
      <c r="E157" s="16" t="s">
        <v>29</v>
      </c>
      <c r="F157" s="16" t="s">
        <v>30</v>
      </c>
      <c r="G157" s="16" t="s">
        <v>23</v>
      </c>
      <c r="H157" s="16" t="s">
        <v>46</v>
      </c>
      <c r="I157" s="16" t="s">
        <v>38</v>
      </c>
      <c r="J157" s="16" t="s">
        <v>34</v>
      </c>
      <c r="K157" s="16" t="s">
        <v>19</v>
      </c>
      <c r="L157" s="16" t="s">
        <v>39</v>
      </c>
      <c r="O157"/>
      <c r="P157"/>
    </row>
    <row r="158" spans="1:16" x14ac:dyDescent="0.25">
      <c r="A158" s="16" t="s">
        <v>235</v>
      </c>
      <c r="B158" s="13">
        <v>45747</v>
      </c>
      <c r="C158" s="13">
        <v>45748</v>
      </c>
      <c r="D158" s="16" t="s">
        <v>45</v>
      </c>
      <c r="E158" s="16" t="s">
        <v>29</v>
      </c>
      <c r="F158" s="16" t="s">
        <v>54</v>
      </c>
      <c r="G158" s="16" t="s">
        <v>16</v>
      </c>
      <c r="H158" s="16" t="s">
        <v>51</v>
      </c>
      <c r="I158" s="16" t="s">
        <v>69</v>
      </c>
      <c r="J158" s="16" t="s">
        <v>34</v>
      </c>
      <c r="K158" s="16" t="s">
        <v>39</v>
      </c>
      <c r="L158" s="16" t="s">
        <v>39</v>
      </c>
      <c r="O158"/>
      <c r="P158"/>
    </row>
    <row r="159" spans="1:16" x14ac:dyDescent="0.25">
      <c r="A159" s="16" t="s">
        <v>236</v>
      </c>
      <c r="B159" s="13">
        <v>45835</v>
      </c>
      <c r="C159" s="13">
        <v>45836</v>
      </c>
      <c r="D159" s="16" t="s">
        <v>13</v>
      </c>
      <c r="E159" s="16" t="s">
        <v>14</v>
      </c>
      <c r="F159" s="16" t="s">
        <v>237</v>
      </c>
      <c r="G159" s="16" t="s">
        <v>55</v>
      </c>
      <c r="H159" s="16" t="s">
        <v>46</v>
      </c>
      <c r="I159" s="16" t="s">
        <v>38</v>
      </c>
      <c r="J159" s="16" t="s">
        <v>18</v>
      </c>
      <c r="K159" s="16" t="s">
        <v>19</v>
      </c>
      <c r="L159" s="16" t="s">
        <v>20</v>
      </c>
      <c r="O159"/>
      <c r="P159"/>
    </row>
    <row r="160" spans="1:16" x14ac:dyDescent="0.25">
      <c r="A160" s="16" t="s">
        <v>238</v>
      </c>
      <c r="B160" s="13">
        <v>45851</v>
      </c>
      <c r="C160" s="13">
        <v>45853</v>
      </c>
      <c r="D160" s="16" t="s">
        <v>13</v>
      </c>
      <c r="E160" s="16" t="s">
        <v>29</v>
      </c>
      <c r="F160" s="16" t="s">
        <v>41</v>
      </c>
      <c r="G160" s="16" t="s">
        <v>55</v>
      </c>
      <c r="H160" s="16" t="s">
        <v>92</v>
      </c>
      <c r="I160" s="16" t="s">
        <v>47</v>
      </c>
      <c r="J160" s="16" t="s">
        <v>34</v>
      </c>
      <c r="K160" s="16" t="s">
        <v>19</v>
      </c>
      <c r="L160" s="16" t="s">
        <v>39</v>
      </c>
      <c r="O160"/>
      <c r="P160"/>
    </row>
    <row r="161" spans="1:16" x14ac:dyDescent="0.25">
      <c r="A161" s="16" t="s">
        <v>239</v>
      </c>
      <c r="B161" s="12">
        <v>45705</v>
      </c>
      <c r="C161" s="13">
        <v>45707</v>
      </c>
      <c r="D161" s="16" t="s">
        <v>49</v>
      </c>
      <c r="E161" s="16" t="s">
        <v>29</v>
      </c>
      <c r="F161" s="16" t="s">
        <v>36</v>
      </c>
      <c r="G161" s="16" t="s">
        <v>16</v>
      </c>
      <c r="H161" s="16" t="s">
        <v>24</v>
      </c>
      <c r="I161" s="16" t="s">
        <v>17</v>
      </c>
      <c r="J161" s="16" t="s">
        <v>34</v>
      </c>
      <c r="K161" s="16" t="s">
        <v>39</v>
      </c>
      <c r="L161" s="16" t="s">
        <v>39</v>
      </c>
      <c r="O161"/>
      <c r="P161"/>
    </row>
    <row r="162" spans="1:16" x14ac:dyDescent="0.25">
      <c r="A162" s="16" t="s">
        <v>240</v>
      </c>
      <c r="B162" s="13">
        <v>45939</v>
      </c>
      <c r="C162" s="13">
        <v>45946</v>
      </c>
      <c r="D162" s="16" t="s">
        <v>13</v>
      </c>
      <c r="E162" s="16" t="s">
        <v>29</v>
      </c>
      <c r="F162" s="16" t="s">
        <v>15</v>
      </c>
      <c r="G162" s="16" t="s">
        <v>16</v>
      </c>
      <c r="H162" s="16" t="s">
        <v>95</v>
      </c>
      <c r="I162" s="16" t="s">
        <v>25</v>
      </c>
      <c r="J162" s="16" t="s">
        <v>18</v>
      </c>
      <c r="K162" s="16" t="s">
        <v>39</v>
      </c>
      <c r="L162" s="16" t="s">
        <v>39</v>
      </c>
      <c r="O162"/>
      <c r="P162"/>
    </row>
    <row r="163" spans="1:16" x14ac:dyDescent="0.25">
      <c r="A163" s="16" t="s">
        <v>241</v>
      </c>
      <c r="B163" s="13">
        <v>45936</v>
      </c>
      <c r="C163" s="13">
        <v>45941</v>
      </c>
      <c r="D163" s="16" t="s">
        <v>49</v>
      </c>
      <c r="E163" s="16" t="s">
        <v>14</v>
      </c>
      <c r="F163" s="16" t="s">
        <v>22</v>
      </c>
      <c r="G163" s="16" t="s">
        <v>42</v>
      </c>
      <c r="H163" s="16"/>
      <c r="I163" s="16" t="s">
        <v>33</v>
      </c>
      <c r="J163" s="16" t="s">
        <v>18</v>
      </c>
      <c r="K163" s="16" t="s">
        <v>39</v>
      </c>
      <c r="L163" s="16" t="s">
        <v>20</v>
      </c>
      <c r="O163"/>
      <c r="P163"/>
    </row>
    <row r="164" spans="1:16" x14ac:dyDescent="0.25">
      <c r="A164" s="16" t="s">
        <v>242</v>
      </c>
      <c r="B164" s="13">
        <v>45925</v>
      </c>
      <c r="C164" s="13">
        <v>45928</v>
      </c>
      <c r="D164" s="16" t="s">
        <v>45</v>
      </c>
      <c r="E164" s="16" t="s">
        <v>171</v>
      </c>
      <c r="F164" s="16" t="s">
        <v>50</v>
      </c>
      <c r="G164" s="16" t="s">
        <v>31</v>
      </c>
      <c r="H164" s="16" t="s">
        <v>24</v>
      </c>
      <c r="I164" s="16" t="s">
        <v>69</v>
      </c>
      <c r="J164" s="16" t="s">
        <v>18</v>
      </c>
      <c r="K164" s="16" t="s">
        <v>19</v>
      </c>
      <c r="L164" s="16" t="s">
        <v>19</v>
      </c>
      <c r="O164"/>
      <c r="P164"/>
    </row>
    <row r="165" spans="1:16" x14ac:dyDescent="0.25">
      <c r="A165" s="16" t="s">
        <v>243</v>
      </c>
      <c r="B165" s="13">
        <v>46007</v>
      </c>
      <c r="C165" s="16">
        <v>46011</v>
      </c>
      <c r="D165" s="16" t="s">
        <v>28</v>
      </c>
      <c r="E165" s="16" t="s">
        <v>58</v>
      </c>
      <c r="F165" s="16" t="s">
        <v>22</v>
      </c>
      <c r="G165" s="16" t="s">
        <v>16</v>
      </c>
      <c r="H165" s="16" t="s">
        <v>128</v>
      </c>
      <c r="I165" s="16" t="s">
        <v>17</v>
      </c>
      <c r="J165" s="16" t="s">
        <v>34</v>
      </c>
      <c r="K165" s="16" t="s">
        <v>39</v>
      </c>
      <c r="L165" s="16" t="s">
        <v>39</v>
      </c>
      <c r="O165"/>
      <c r="P165"/>
    </row>
    <row r="166" spans="1:16" x14ac:dyDescent="0.25">
      <c r="A166" s="16" t="s">
        <v>244</v>
      </c>
      <c r="B166" s="13">
        <v>45956</v>
      </c>
      <c r="C166" s="16">
        <v>45961</v>
      </c>
      <c r="D166" s="16" t="s">
        <v>49</v>
      </c>
      <c r="E166" s="16" t="s">
        <v>76</v>
      </c>
      <c r="F166" s="16" t="s">
        <v>22</v>
      </c>
      <c r="G166" s="16" t="s">
        <v>55</v>
      </c>
      <c r="H166" s="16" t="s">
        <v>151</v>
      </c>
      <c r="I166" s="16" t="s">
        <v>47</v>
      </c>
      <c r="J166" s="16" t="s">
        <v>18</v>
      </c>
      <c r="K166" s="16" t="s">
        <v>19</v>
      </c>
      <c r="L166" s="16" t="s">
        <v>19</v>
      </c>
      <c r="O166"/>
      <c r="P166"/>
    </row>
    <row r="167" spans="1:16" x14ac:dyDescent="0.25">
      <c r="A167" s="16" t="s">
        <v>245</v>
      </c>
      <c r="B167" s="13">
        <v>45827</v>
      </c>
      <c r="C167" s="13">
        <v>45828</v>
      </c>
      <c r="D167" s="16" t="s">
        <v>28</v>
      </c>
      <c r="E167" s="16" t="s">
        <v>14</v>
      </c>
      <c r="F167" s="16" t="s">
        <v>66</v>
      </c>
      <c r="G167" s="16" t="s">
        <v>31</v>
      </c>
      <c r="H167" s="16" t="s">
        <v>62</v>
      </c>
      <c r="I167" s="16" t="s">
        <v>47</v>
      </c>
      <c r="J167" s="16" t="s">
        <v>60</v>
      </c>
      <c r="K167" s="16" t="s">
        <v>20</v>
      </c>
      <c r="L167" s="16" t="s">
        <v>39</v>
      </c>
      <c r="O167"/>
      <c r="P167"/>
    </row>
    <row r="168" spans="1:16" x14ac:dyDescent="0.25">
      <c r="A168" s="16" t="s">
        <v>246</v>
      </c>
      <c r="B168" s="13">
        <v>45884</v>
      </c>
      <c r="C168" s="13"/>
      <c r="D168" s="16" t="s">
        <v>13</v>
      </c>
      <c r="E168" s="16" t="s">
        <v>14</v>
      </c>
      <c r="F168" s="16" t="s">
        <v>50</v>
      </c>
      <c r="G168" s="16" t="s">
        <v>42</v>
      </c>
      <c r="H168" s="16" t="s">
        <v>128</v>
      </c>
      <c r="I168" s="16" t="s">
        <v>33</v>
      </c>
      <c r="J168" s="16" t="s">
        <v>60</v>
      </c>
      <c r="K168" s="16" t="s">
        <v>39</v>
      </c>
      <c r="L168" s="16" t="s">
        <v>19</v>
      </c>
      <c r="O168"/>
      <c r="P168"/>
    </row>
    <row r="169" spans="1:16" x14ac:dyDescent="0.25">
      <c r="A169" s="16" t="s">
        <v>247</v>
      </c>
      <c r="B169" s="13">
        <v>45891</v>
      </c>
      <c r="C169" s="13"/>
      <c r="D169" s="16" t="s">
        <v>28</v>
      </c>
      <c r="E169" s="16" t="s">
        <v>29</v>
      </c>
      <c r="F169" s="16" t="s">
        <v>22</v>
      </c>
      <c r="G169" s="16" t="s">
        <v>23</v>
      </c>
      <c r="H169" s="16" t="s">
        <v>128</v>
      </c>
      <c r="I169" s="16" t="s">
        <v>47</v>
      </c>
      <c r="J169" s="16" t="s">
        <v>18</v>
      </c>
      <c r="K169" s="16" t="s">
        <v>19</v>
      </c>
      <c r="L169" s="16" t="s">
        <v>20</v>
      </c>
      <c r="O169"/>
      <c r="P169"/>
    </row>
    <row r="170" spans="1:16" x14ac:dyDescent="0.25">
      <c r="A170" s="16" t="s">
        <v>248</v>
      </c>
      <c r="B170" s="13">
        <v>45741</v>
      </c>
      <c r="C170" s="13">
        <v>45743</v>
      </c>
      <c r="D170" s="16" t="s">
        <v>49</v>
      </c>
      <c r="E170" s="16" t="s">
        <v>14</v>
      </c>
      <c r="F170" s="16" t="s">
        <v>30</v>
      </c>
      <c r="G170" s="16" t="s">
        <v>42</v>
      </c>
      <c r="H170" s="16" t="s">
        <v>92</v>
      </c>
      <c r="I170" s="16" t="s">
        <v>47</v>
      </c>
      <c r="J170" s="16" t="s">
        <v>34</v>
      </c>
      <c r="K170" s="16" t="s">
        <v>20</v>
      </c>
      <c r="L170" s="16" t="s">
        <v>39</v>
      </c>
      <c r="O170"/>
      <c r="P170"/>
    </row>
    <row r="171" spans="1:16" x14ac:dyDescent="0.25">
      <c r="A171" s="16" t="s">
        <v>249</v>
      </c>
      <c r="B171" s="13">
        <v>45965</v>
      </c>
      <c r="C171" s="13">
        <v>45972</v>
      </c>
      <c r="D171" s="16" t="s">
        <v>13</v>
      </c>
      <c r="E171" s="16" t="s">
        <v>14</v>
      </c>
      <c r="F171" s="16" t="s">
        <v>30</v>
      </c>
      <c r="G171" s="16" t="s">
        <v>23</v>
      </c>
      <c r="H171" s="16" t="s">
        <v>24</v>
      </c>
      <c r="I171" s="16" t="s">
        <v>25</v>
      </c>
      <c r="J171" s="16" t="s">
        <v>60</v>
      </c>
      <c r="K171" s="16" t="s">
        <v>20</v>
      </c>
      <c r="L171" s="16" t="s">
        <v>39</v>
      </c>
      <c r="O171"/>
      <c r="P171"/>
    </row>
    <row r="172" spans="1:16" x14ac:dyDescent="0.25">
      <c r="A172" s="16" t="s">
        <v>250</v>
      </c>
      <c r="B172" s="13">
        <v>45849</v>
      </c>
      <c r="C172" s="13">
        <v>45849</v>
      </c>
      <c r="D172" s="16" t="s">
        <v>13</v>
      </c>
      <c r="E172" s="16" t="s">
        <v>29</v>
      </c>
      <c r="F172" s="16" t="s">
        <v>22</v>
      </c>
      <c r="G172" s="16" t="s">
        <v>23</v>
      </c>
      <c r="H172" s="16" t="s">
        <v>79</v>
      </c>
      <c r="I172" s="16" t="s">
        <v>69</v>
      </c>
      <c r="J172" s="16" t="s">
        <v>34</v>
      </c>
      <c r="K172" s="16" t="s">
        <v>20</v>
      </c>
      <c r="L172" s="16" t="s">
        <v>19</v>
      </c>
      <c r="O172"/>
      <c r="P172"/>
    </row>
    <row r="173" spans="1:16" x14ac:dyDescent="0.25">
      <c r="A173" s="16" t="s">
        <v>251</v>
      </c>
      <c r="B173" s="13">
        <v>45671</v>
      </c>
      <c r="C173" s="13">
        <v>45676</v>
      </c>
      <c r="D173" s="16" t="s">
        <v>45</v>
      </c>
      <c r="E173" s="16" t="s">
        <v>29</v>
      </c>
      <c r="F173" s="16" t="s">
        <v>66</v>
      </c>
      <c r="G173" s="16" t="s">
        <v>42</v>
      </c>
      <c r="H173" s="16"/>
      <c r="I173" s="16" t="s">
        <v>25</v>
      </c>
      <c r="J173" s="16" t="s">
        <v>26</v>
      </c>
      <c r="K173" s="16" t="s">
        <v>19</v>
      </c>
      <c r="L173" s="16" t="s">
        <v>39</v>
      </c>
      <c r="O173"/>
      <c r="P173"/>
    </row>
    <row r="174" spans="1:16" x14ac:dyDescent="0.25">
      <c r="A174" s="16" t="s">
        <v>21</v>
      </c>
      <c r="B174" s="13">
        <v>45790</v>
      </c>
      <c r="C174" s="13">
        <v>45792</v>
      </c>
      <c r="D174" s="16" t="s">
        <v>49</v>
      </c>
      <c r="E174" s="16" t="s">
        <v>14</v>
      </c>
      <c r="F174" s="16" t="s">
        <v>50</v>
      </c>
      <c r="G174" s="16" t="s">
        <v>16</v>
      </c>
      <c r="H174" s="16" t="s">
        <v>37</v>
      </c>
      <c r="I174" s="16" t="s">
        <v>69</v>
      </c>
      <c r="J174" s="16" t="s">
        <v>18</v>
      </c>
      <c r="K174" s="16" t="s">
        <v>20</v>
      </c>
      <c r="L174" s="16" t="s">
        <v>39</v>
      </c>
      <c r="O174"/>
      <c r="P174"/>
    </row>
    <row r="175" spans="1:16" x14ac:dyDescent="0.25">
      <c r="A175" s="16" t="s">
        <v>252</v>
      </c>
      <c r="B175" s="13">
        <v>46006</v>
      </c>
      <c r="C175" s="16">
        <v>46010</v>
      </c>
      <c r="D175" s="16" t="s">
        <v>28</v>
      </c>
      <c r="E175" s="16" t="s">
        <v>76</v>
      </c>
      <c r="F175" s="16" t="s">
        <v>30</v>
      </c>
      <c r="G175" s="16" t="s">
        <v>55</v>
      </c>
      <c r="H175" s="16" t="s">
        <v>62</v>
      </c>
      <c r="I175" s="16" t="s">
        <v>33</v>
      </c>
      <c r="J175" s="16" t="s">
        <v>60</v>
      </c>
      <c r="K175" s="16" t="s">
        <v>19</v>
      </c>
      <c r="L175" s="16" t="s">
        <v>39</v>
      </c>
      <c r="O175"/>
      <c r="P175"/>
    </row>
    <row r="176" spans="1:16" x14ac:dyDescent="0.25">
      <c r="A176" s="16" t="s">
        <v>253</v>
      </c>
      <c r="B176" s="13">
        <v>45889</v>
      </c>
      <c r="C176" s="16">
        <v>45893</v>
      </c>
      <c r="D176" s="16" t="s">
        <v>45</v>
      </c>
      <c r="E176" s="16" t="s">
        <v>76</v>
      </c>
      <c r="F176" s="16" t="s">
        <v>15</v>
      </c>
      <c r="G176" s="16" t="s">
        <v>55</v>
      </c>
      <c r="H176" s="16" t="s">
        <v>46</v>
      </c>
      <c r="I176" s="16" t="s">
        <v>33</v>
      </c>
      <c r="J176" s="16" t="s">
        <v>34</v>
      </c>
      <c r="K176" s="16" t="s">
        <v>20</v>
      </c>
      <c r="L176" s="16" t="s">
        <v>39</v>
      </c>
      <c r="O176"/>
      <c r="P176"/>
    </row>
    <row r="177" spans="1:16" x14ac:dyDescent="0.25">
      <c r="A177" s="16" t="s">
        <v>254</v>
      </c>
      <c r="B177" s="12">
        <v>45703</v>
      </c>
      <c r="C177" s="16">
        <v>45704</v>
      </c>
      <c r="D177" s="16" t="s">
        <v>13</v>
      </c>
      <c r="E177" s="16" t="s">
        <v>76</v>
      </c>
      <c r="F177" s="16" t="s">
        <v>30</v>
      </c>
      <c r="G177" s="16" t="s">
        <v>23</v>
      </c>
      <c r="H177" s="16" t="s">
        <v>106</v>
      </c>
      <c r="I177" s="16" t="s">
        <v>17</v>
      </c>
      <c r="J177" s="16" t="s">
        <v>18</v>
      </c>
      <c r="K177" s="16" t="s">
        <v>20</v>
      </c>
      <c r="L177" s="16" t="s">
        <v>39</v>
      </c>
      <c r="O177"/>
      <c r="P177"/>
    </row>
    <row r="178" spans="1:16" x14ac:dyDescent="0.25">
      <c r="A178" s="16" t="s">
        <v>251</v>
      </c>
      <c r="B178" s="13">
        <v>45864</v>
      </c>
      <c r="C178" s="13"/>
      <c r="D178" s="16" t="s">
        <v>28</v>
      </c>
      <c r="E178" s="16" t="s">
        <v>14</v>
      </c>
      <c r="F178" s="16" t="s">
        <v>15</v>
      </c>
      <c r="G178" s="16" t="s">
        <v>23</v>
      </c>
      <c r="H178" s="16" t="s">
        <v>46</v>
      </c>
      <c r="I178" s="16" t="s">
        <v>47</v>
      </c>
      <c r="J178" s="16" t="s">
        <v>26</v>
      </c>
      <c r="K178" s="16" t="s">
        <v>20</v>
      </c>
      <c r="L178" s="16" t="s">
        <v>19</v>
      </c>
      <c r="O178"/>
      <c r="P178"/>
    </row>
    <row r="179" spans="1:16" x14ac:dyDescent="0.25">
      <c r="A179" s="16" t="s">
        <v>255</v>
      </c>
      <c r="B179" s="13">
        <v>45668</v>
      </c>
      <c r="D179" s="16" t="s">
        <v>45</v>
      </c>
      <c r="E179" s="16" t="s">
        <v>76</v>
      </c>
      <c r="F179" s="16" t="s">
        <v>66</v>
      </c>
      <c r="G179" s="16" t="s">
        <v>16</v>
      </c>
      <c r="H179" s="16" t="s">
        <v>56</v>
      </c>
      <c r="I179" s="16" t="s">
        <v>17</v>
      </c>
      <c r="J179" s="16" t="s">
        <v>60</v>
      </c>
      <c r="K179" s="16" t="s">
        <v>20</v>
      </c>
      <c r="L179" s="16" t="s">
        <v>20</v>
      </c>
      <c r="O179"/>
      <c r="P179"/>
    </row>
    <row r="180" spans="1:16" x14ac:dyDescent="0.25">
      <c r="A180" s="16" t="s">
        <v>256</v>
      </c>
      <c r="B180" s="12">
        <v>45974</v>
      </c>
      <c r="C180" s="13"/>
      <c r="D180" s="16" t="s">
        <v>13</v>
      </c>
      <c r="E180" s="16" t="s">
        <v>14</v>
      </c>
      <c r="F180" s="16" t="s">
        <v>36</v>
      </c>
      <c r="G180" s="16" t="s">
        <v>42</v>
      </c>
      <c r="H180" s="16" t="s">
        <v>24</v>
      </c>
      <c r="I180" s="16" t="s">
        <v>47</v>
      </c>
      <c r="J180" s="16" t="s">
        <v>26</v>
      </c>
      <c r="K180" s="16" t="s">
        <v>19</v>
      </c>
      <c r="L180" s="16" t="s">
        <v>39</v>
      </c>
      <c r="O180"/>
      <c r="P180"/>
    </row>
    <row r="181" spans="1:16" x14ac:dyDescent="0.25">
      <c r="A181" s="16" t="s">
        <v>257</v>
      </c>
      <c r="B181" s="13">
        <v>45717</v>
      </c>
      <c r="C181" s="13"/>
      <c r="D181" s="16" t="s">
        <v>28</v>
      </c>
      <c r="E181" s="16" t="s">
        <v>29</v>
      </c>
      <c r="F181" s="16" t="s">
        <v>103</v>
      </c>
      <c r="G181" s="16" t="s">
        <v>16</v>
      </c>
      <c r="H181" s="16" t="s">
        <v>37</v>
      </c>
      <c r="I181" s="16" t="s">
        <v>38</v>
      </c>
      <c r="J181" s="16" t="s">
        <v>34</v>
      </c>
      <c r="K181" s="16" t="s">
        <v>20</v>
      </c>
      <c r="L181" s="16" t="s">
        <v>20</v>
      </c>
      <c r="O181"/>
      <c r="P181"/>
    </row>
    <row r="182" spans="1:16" x14ac:dyDescent="0.25">
      <c r="A182" s="16" t="s">
        <v>258</v>
      </c>
      <c r="B182" s="13">
        <v>45797</v>
      </c>
      <c r="C182" s="13">
        <v>45804</v>
      </c>
      <c r="D182" s="16" t="s">
        <v>13</v>
      </c>
      <c r="E182" s="16" t="s">
        <v>29</v>
      </c>
      <c r="F182" s="16" t="s">
        <v>41</v>
      </c>
      <c r="G182" s="16" t="s">
        <v>23</v>
      </c>
      <c r="H182" s="16" t="s">
        <v>59</v>
      </c>
      <c r="I182" s="16" t="s">
        <v>38</v>
      </c>
      <c r="J182" s="16" t="s">
        <v>34</v>
      </c>
      <c r="K182" s="16" t="s">
        <v>39</v>
      </c>
      <c r="L182" s="16" t="s">
        <v>20</v>
      </c>
      <c r="O182"/>
      <c r="P182"/>
    </row>
    <row r="183" spans="1:16" x14ac:dyDescent="0.25">
      <c r="A183" s="16" t="s">
        <v>259</v>
      </c>
      <c r="B183" s="13">
        <v>45724</v>
      </c>
      <c r="C183" s="13">
        <v>45728</v>
      </c>
      <c r="D183" s="16" t="s">
        <v>49</v>
      </c>
      <c r="E183" s="16" t="s">
        <v>29</v>
      </c>
      <c r="F183" s="16" t="s">
        <v>15</v>
      </c>
      <c r="G183" s="16" t="s">
        <v>16</v>
      </c>
      <c r="H183" s="16" t="s">
        <v>106</v>
      </c>
      <c r="I183" s="16" t="s">
        <v>52</v>
      </c>
      <c r="J183" s="16" t="s">
        <v>18</v>
      </c>
      <c r="K183" s="16" t="s">
        <v>20</v>
      </c>
      <c r="L183" s="16" t="s">
        <v>20</v>
      </c>
      <c r="O183"/>
      <c r="P183"/>
    </row>
    <row r="184" spans="1:16" x14ac:dyDescent="0.25">
      <c r="A184" s="16" t="s">
        <v>260</v>
      </c>
      <c r="B184" s="13">
        <v>45986</v>
      </c>
      <c r="C184" s="13">
        <v>45989</v>
      </c>
      <c r="D184" s="16" t="s">
        <v>28</v>
      </c>
      <c r="E184" s="16" t="s">
        <v>14</v>
      </c>
      <c r="F184" s="16" t="s">
        <v>41</v>
      </c>
      <c r="G184" s="16" t="s">
        <v>23</v>
      </c>
      <c r="H184" s="16" t="s">
        <v>92</v>
      </c>
      <c r="I184" s="16" t="s">
        <v>17</v>
      </c>
      <c r="J184" s="16" t="s">
        <v>18</v>
      </c>
      <c r="K184" s="16" t="s">
        <v>39</v>
      </c>
      <c r="L184" s="16" t="s">
        <v>19</v>
      </c>
      <c r="O184"/>
      <c r="P184"/>
    </row>
    <row r="185" spans="1:16" x14ac:dyDescent="0.25">
      <c r="A185" s="16" t="s">
        <v>261</v>
      </c>
      <c r="B185" s="12">
        <v>45951</v>
      </c>
      <c r="C185" s="16">
        <v>45954</v>
      </c>
      <c r="D185" s="16" t="s">
        <v>13</v>
      </c>
      <c r="E185" s="16" t="s">
        <v>76</v>
      </c>
      <c r="F185" s="16" t="s">
        <v>54</v>
      </c>
      <c r="G185" s="16" t="s">
        <v>42</v>
      </c>
      <c r="H185" s="16" t="s">
        <v>134</v>
      </c>
      <c r="I185" s="16" t="s">
        <v>38</v>
      </c>
      <c r="J185" s="16" t="s">
        <v>34</v>
      </c>
      <c r="K185" s="16" t="s">
        <v>20</v>
      </c>
      <c r="L185" s="16" t="s">
        <v>39</v>
      </c>
      <c r="O185"/>
      <c r="P185"/>
    </row>
    <row r="186" spans="1:16" x14ac:dyDescent="0.25">
      <c r="A186" s="16" t="s">
        <v>262</v>
      </c>
      <c r="B186" s="13">
        <v>45772</v>
      </c>
      <c r="C186" s="13">
        <v>45773</v>
      </c>
      <c r="D186" s="16" t="s">
        <v>13</v>
      </c>
      <c r="E186" s="16" t="s">
        <v>29</v>
      </c>
      <c r="F186" s="16" t="s">
        <v>66</v>
      </c>
      <c r="G186" s="16" t="s">
        <v>16</v>
      </c>
      <c r="H186" s="16" t="s">
        <v>37</v>
      </c>
      <c r="I186" s="16" t="s">
        <v>38</v>
      </c>
      <c r="J186" s="16" t="s">
        <v>34</v>
      </c>
      <c r="K186" s="16" t="s">
        <v>20</v>
      </c>
      <c r="L186" s="16" t="s">
        <v>20</v>
      </c>
      <c r="O186"/>
      <c r="P186"/>
    </row>
    <row r="187" spans="1:16" x14ac:dyDescent="0.25">
      <c r="A187" s="16" t="s">
        <v>263</v>
      </c>
      <c r="B187" s="13">
        <v>45867</v>
      </c>
      <c r="C187" s="13"/>
      <c r="D187" s="16" t="s">
        <v>49</v>
      </c>
      <c r="E187" s="16" t="s">
        <v>29</v>
      </c>
      <c r="F187" s="16" t="s">
        <v>22</v>
      </c>
      <c r="G187" s="16" t="s">
        <v>16</v>
      </c>
      <c r="H187" s="16" t="s">
        <v>92</v>
      </c>
      <c r="I187" s="16" t="s">
        <v>52</v>
      </c>
      <c r="J187" s="16" t="s">
        <v>34</v>
      </c>
      <c r="K187" s="16" t="s">
        <v>19</v>
      </c>
      <c r="L187" s="16" t="s">
        <v>19</v>
      </c>
      <c r="O187"/>
      <c r="P187"/>
    </row>
    <row r="188" spans="1:16" x14ac:dyDescent="0.25">
      <c r="A188" s="16" t="s">
        <v>264</v>
      </c>
      <c r="B188" s="12">
        <v>45682</v>
      </c>
      <c r="C188" s="13">
        <v>45684</v>
      </c>
      <c r="D188" s="16" t="s">
        <v>49</v>
      </c>
      <c r="E188" s="16" t="s">
        <v>14</v>
      </c>
      <c r="F188" s="16" t="s">
        <v>265</v>
      </c>
      <c r="G188" s="16" t="s">
        <v>42</v>
      </c>
      <c r="H188" s="16" t="s">
        <v>73</v>
      </c>
      <c r="I188" s="16" t="s">
        <v>69</v>
      </c>
      <c r="J188" s="16" t="s">
        <v>26</v>
      </c>
      <c r="K188" s="16" t="s">
        <v>39</v>
      </c>
      <c r="L188" s="16" t="s">
        <v>39</v>
      </c>
      <c r="O188"/>
      <c r="P188"/>
    </row>
    <row r="189" spans="1:16" x14ac:dyDescent="0.25">
      <c r="A189" s="16" t="s">
        <v>266</v>
      </c>
      <c r="B189" s="13">
        <v>45808</v>
      </c>
      <c r="C189" s="16">
        <v>45809</v>
      </c>
      <c r="D189" s="16" t="s">
        <v>45</v>
      </c>
      <c r="E189" s="16" t="s">
        <v>58</v>
      </c>
      <c r="F189" s="16" t="s">
        <v>41</v>
      </c>
      <c r="G189" s="16" t="s">
        <v>16</v>
      </c>
      <c r="H189" s="16" t="s">
        <v>128</v>
      </c>
      <c r="I189" s="16" t="s">
        <v>52</v>
      </c>
      <c r="J189" s="16" t="s">
        <v>60</v>
      </c>
      <c r="K189" s="16" t="s">
        <v>20</v>
      </c>
      <c r="L189" s="16" t="s">
        <v>20</v>
      </c>
      <c r="O189"/>
      <c r="P189"/>
    </row>
    <row r="190" spans="1:16" x14ac:dyDescent="0.25">
      <c r="A190" s="16" t="s">
        <v>267</v>
      </c>
      <c r="B190" s="12">
        <v>45823</v>
      </c>
      <c r="C190" s="13">
        <v>45823</v>
      </c>
      <c r="D190" s="16" t="s">
        <v>49</v>
      </c>
      <c r="E190" s="16" t="s">
        <v>29</v>
      </c>
      <c r="F190" s="16" t="s">
        <v>41</v>
      </c>
      <c r="G190" s="16" t="s">
        <v>16</v>
      </c>
      <c r="H190" s="16" t="s">
        <v>136</v>
      </c>
      <c r="I190" s="16" t="s">
        <v>69</v>
      </c>
      <c r="J190" s="16" t="s">
        <v>18</v>
      </c>
      <c r="K190" s="16" t="s">
        <v>39</v>
      </c>
      <c r="L190" s="16" t="s">
        <v>19</v>
      </c>
      <c r="O190"/>
      <c r="P190"/>
    </row>
    <row r="191" spans="1:16" x14ac:dyDescent="0.25">
      <c r="A191" s="16" t="s">
        <v>268</v>
      </c>
      <c r="B191" s="13">
        <v>45809</v>
      </c>
      <c r="C191" s="13"/>
      <c r="D191" s="16" t="s">
        <v>45</v>
      </c>
      <c r="E191" s="16" t="s">
        <v>14</v>
      </c>
      <c r="F191" s="16" t="s">
        <v>103</v>
      </c>
      <c r="G191" s="16" t="s">
        <v>23</v>
      </c>
      <c r="H191" s="16" t="s">
        <v>136</v>
      </c>
      <c r="I191" s="16" t="s">
        <v>38</v>
      </c>
      <c r="J191" s="16" t="s">
        <v>26</v>
      </c>
      <c r="K191" s="16" t="s">
        <v>39</v>
      </c>
      <c r="L191" s="16" t="s">
        <v>19</v>
      </c>
      <c r="O191"/>
      <c r="P191"/>
    </row>
    <row r="192" spans="1:16" x14ac:dyDescent="0.25">
      <c r="A192" s="16" t="s">
        <v>269</v>
      </c>
      <c r="B192" s="13">
        <v>46008</v>
      </c>
      <c r="C192" s="13">
        <v>46009</v>
      </c>
      <c r="D192" s="16" t="s">
        <v>28</v>
      </c>
      <c r="E192" s="16" t="s">
        <v>14</v>
      </c>
      <c r="F192" s="16" t="s">
        <v>22</v>
      </c>
      <c r="G192" s="16" t="s">
        <v>31</v>
      </c>
      <c r="H192" s="16" t="s">
        <v>136</v>
      </c>
      <c r="I192" s="16" t="s">
        <v>25</v>
      </c>
      <c r="J192" s="16" t="s">
        <v>26</v>
      </c>
      <c r="K192" s="16" t="s">
        <v>20</v>
      </c>
      <c r="L192" s="16" t="s">
        <v>39</v>
      </c>
      <c r="O192"/>
      <c r="P192"/>
    </row>
    <row r="193" spans="1:16" x14ac:dyDescent="0.25">
      <c r="A193" s="16" t="s">
        <v>270</v>
      </c>
      <c r="B193" s="13">
        <v>45746</v>
      </c>
      <c r="C193" s="13">
        <v>45752</v>
      </c>
      <c r="D193" s="16" t="s">
        <v>28</v>
      </c>
      <c r="E193" s="16" t="s">
        <v>14</v>
      </c>
      <c r="F193" s="16" t="s">
        <v>15</v>
      </c>
      <c r="G193" s="16" t="s">
        <v>23</v>
      </c>
      <c r="H193" s="16" t="s">
        <v>128</v>
      </c>
      <c r="I193" s="16" t="s">
        <v>69</v>
      </c>
      <c r="J193" s="16" t="s">
        <v>34</v>
      </c>
      <c r="K193" s="16" t="s">
        <v>20</v>
      </c>
      <c r="L193" s="16" t="s">
        <v>19</v>
      </c>
      <c r="O193"/>
      <c r="P193"/>
    </row>
    <row r="194" spans="1:16" x14ac:dyDescent="0.25">
      <c r="A194" s="16" t="s">
        <v>271</v>
      </c>
      <c r="B194" s="13">
        <v>45770</v>
      </c>
      <c r="C194" s="16">
        <v>45773</v>
      </c>
      <c r="D194" s="16" t="s">
        <v>13</v>
      </c>
      <c r="E194" s="16" t="s">
        <v>58</v>
      </c>
      <c r="F194" s="16" t="s">
        <v>36</v>
      </c>
      <c r="G194" s="16" t="s">
        <v>42</v>
      </c>
      <c r="H194" s="16" t="s">
        <v>32</v>
      </c>
      <c r="I194" s="16" t="s">
        <v>52</v>
      </c>
      <c r="J194" s="16" t="s">
        <v>60</v>
      </c>
      <c r="K194" s="16" t="s">
        <v>19</v>
      </c>
      <c r="L194" s="16" t="s">
        <v>19</v>
      </c>
      <c r="O194"/>
      <c r="P194"/>
    </row>
    <row r="195" spans="1:16" x14ac:dyDescent="0.25">
      <c r="A195" s="16" t="s">
        <v>272</v>
      </c>
      <c r="B195" s="13">
        <v>45972</v>
      </c>
      <c r="C195" s="13">
        <v>45972</v>
      </c>
      <c r="D195" s="16" t="s">
        <v>28</v>
      </c>
      <c r="E195" s="16" t="s">
        <v>14</v>
      </c>
      <c r="F195" s="16" t="s">
        <v>30</v>
      </c>
      <c r="G195" s="16" t="s">
        <v>23</v>
      </c>
      <c r="H195" s="16"/>
      <c r="I195" s="16" t="s">
        <v>52</v>
      </c>
      <c r="J195" s="16" t="s">
        <v>60</v>
      </c>
      <c r="K195" s="16" t="s">
        <v>19</v>
      </c>
      <c r="L195" s="16" t="s">
        <v>19</v>
      </c>
      <c r="O195"/>
      <c r="P195"/>
    </row>
    <row r="196" spans="1:16" x14ac:dyDescent="0.25">
      <c r="A196" s="16" t="s">
        <v>273</v>
      </c>
      <c r="B196" s="13">
        <v>45707</v>
      </c>
      <c r="C196" s="13"/>
      <c r="D196" s="16" t="s">
        <v>45</v>
      </c>
      <c r="E196" s="16" t="s">
        <v>29</v>
      </c>
      <c r="F196" s="16" t="s">
        <v>41</v>
      </c>
      <c r="G196" s="16" t="s">
        <v>31</v>
      </c>
      <c r="H196" s="16" t="s">
        <v>43</v>
      </c>
      <c r="I196" s="16" t="s">
        <v>52</v>
      </c>
      <c r="J196" s="16" t="s">
        <v>34</v>
      </c>
      <c r="K196" s="16" t="s">
        <v>20</v>
      </c>
      <c r="L196" s="16" t="s">
        <v>19</v>
      </c>
      <c r="O196"/>
      <c r="P196"/>
    </row>
    <row r="197" spans="1:16" x14ac:dyDescent="0.25">
      <c r="A197" s="16" t="s">
        <v>274</v>
      </c>
      <c r="B197" s="12">
        <v>45893</v>
      </c>
      <c r="C197" s="13">
        <v>45899</v>
      </c>
      <c r="D197" s="16" t="s">
        <v>49</v>
      </c>
      <c r="E197" s="16" t="s">
        <v>85</v>
      </c>
      <c r="F197" s="16" t="s">
        <v>54</v>
      </c>
      <c r="G197" s="16" t="s">
        <v>23</v>
      </c>
      <c r="H197" s="16" t="s">
        <v>128</v>
      </c>
      <c r="I197" s="16" t="s">
        <v>17</v>
      </c>
      <c r="J197" s="16" t="s">
        <v>26</v>
      </c>
      <c r="K197" s="16" t="s">
        <v>39</v>
      </c>
      <c r="L197" s="16" t="s">
        <v>39</v>
      </c>
      <c r="O197"/>
      <c r="P197"/>
    </row>
    <row r="198" spans="1:16" x14ac:dyDescent="0.25">
      <c r="A198" s="16" t="s">
        <v>275</v>
      </c>
      <c r="B198" s="12">
        <v>45695</v>
      </c>
      <c r="C198" s="13">
        <v>45697</v>
      </c>
      <c r="D198" s="16" t="s">
        <v>49</v>
      </c>
      <c r="E198" s="16" t="s">
        <v>14</v>
      </c>
      <c r="F198" s="16" t="s">
        <v>30</v>
      </c>
      <c r="G198" s="16" t="s">
        <v>31</v>
      </c>
      <c r="H198" s="16" t="s">
        <v>136</v>
      </c>
      <c r="I198" s="16" t="s">
        <v>69</v>
      </c>
      <c r="J198" s="16" t="s">
        <v>18</v>
      </c>
      <c r="K198" s="16" t="s">
        <v>20</v>
      </c>
      <c r="L198" s="16" t="s">
        <v>20</v>
      </c>
      <c r="O198"/>
      <c r="P198"/>
    </row>
    <row r="199" spans="1:16" x14ac:dyDescent="0.25">
      <c r="A199" s="16" t="s">
        <v>276</v>
      </c>
      <c r="B199" s="13">
        <v>45989</v>
      </c>
      <c r="C199" s="13">
        <v>45990</v>
      </c>
      <c r="D199" s="16" t="s">
        <v>45</v>
      </c>
      <c r="E199" s="16" t="s">
        <v>14</v>
      </c>
      <c r="F199" s="16" t="s">
        <v>36</v>
      </c>
      <c r="G199" s="16" t="s">
        <v>23</v>
      </c>
      <c r="H199" s="16" t="s">
        <v>110</v>
      </c>
      <c r="I199" s="16" t="s">
        <v>38</v>
      </c>
      <c r="J199" s="16" t="s">
        <v>18</v>
      </c>
      <c r="K199" s="16" t="s">
        <v>20</v>
      </c>
      <c r="L199" s="16" t="s">
        <v>20</v>
      </c>
      <c r="O199"/>
      <c r="P199"/>
    </row>
    <row r="200" spans="1:16" x14ac:dyDescent="0.25">
      <c r="A200" s="16" t="s">
        <v>277</v>
      </c>
      <c r="B200" s="13">
        <v>45948</v>
      </c>
      <c r="C200" s="13">
        <v>45955</v>
      </c>
      <c r="D200" s="16" t="s">
        <v>13</v>
      </c>
      <c r="E200" s="16" t="s">
        <v>29</v>
      </c>
      <c r="F200" s="16" t="s">
        <v>30</v>
      </c>
      <c r="G200" s="16" t="s">
        <v>55</v>
      </c>
      <c r="H200" s="16" t="s">
        <v>95</v>
      </c>
      <c r="I200" s="16" t="s">
        <v>47</v>
      </c>
      <c r="J200" s="16" t="s">
        <v>34</v>
      </c>
      <c r="K200" s="16" t="s">
        <v>39</v>
      </c>
      <c r="L200" s="16" t="s">
        <v>19</v>
      </c>
      <c r="O200"/>
      <c r="P200"/>
    </row>
    <row r="201" spans="1:16" x14ac:dyDescent="0.25">
      <c r="A201" s="16" t="s">
        <v>278</v>
      </c>
      <c r="B201" s="13">
        <v>45814</v>
      </c>
      <c r="C201" s="13">
        <v>45817</v>
      </c>
      <c r="D201" s="16" t="s">
        <v>49</v>
      </c>
      <c r="E201" s="16" t="s">
        <v>29</v>
      </c>
      <c r="F201" s="16" t="s">
        <v>50</v>
      </c>
      <c r="G201" s="16" t="s">
        <v>55</v>
      </c>
      <c r="H201" s="16" t="s">
        <v>136</v>
      </c>
      <c r="I201" s="16" t="s">
        <v>38</v>
      </c>
      <c r="J201" s="16" t="s">
        <v>34</v>
      </c>
      <c r="K201" s="16" t="s">
        <v>39</v>
      </c>
      <c r="L201" s="16" t="s">
        <v>19</v>
      </c>
      <c r="O201"/>
      <c r="P201"/>
    </row>
    <row r="202" spans="1:16" x14ac:dyDescent="0.25">
      <c r="A202" s="16" t="s">
        <v>279</v>
      </c>
      <c r="B202" s="13">
        <v>45907</v>
      </c>
      <c r="C202" s="13">
        <v>45912</v>
      </c>
      <c r="D202" s="16" t="s">
        <v>13</v>
      </c>
      <c r="E202" s="16" t="s">
        <v>14</v>
      </c>
      <c r="F202" s="16" t="s">
        <v>41</v>
      </c>
      <c r="G202" s="16" t="s">
        <v>16</v>
      </c>
      <c r="H202" s="16" t="s">
        <v>92</v>
      </c>
      <c r="I202" s="16" t="s">
        <v>25</v>
      </c>
      <c r="J202" s="16" t="s">
        <v>60</v>
      </c>
      <c r="K202" s="16" t="s">
        <v>19</v>
      </c>
      <c r="L202" s="16" t="s">
        <v>20</v>
      </c>
      <c r="O202"/>
      <c r="P202"/>
    </row>
    <row r="203" spans="1:16" x14ac:dyDescent="0.25">
      <c r="A203" s="16" t="s">
        <v>280</v>
      </c>
      <c r="B203" s="13">
        <v>45934</v>
      </c>
      <c r="C203" s="13">
        <v>45935</v>
      </c>
      <c r="D203" s="16" t="s">
        <v>45</v>
      </c>
      <c r="E203" s="16" t="s">
        <v>14</v>
      </c>
      <c r="F203" s="16" t="s">
        <v>54</v>
      </c>
      <c r="G203" s="16" t="s">
        <v>42</v>
      </c>
      <c r="H203" s="16" t="s">
        <v>59</v>
      </c>
      <c r="I203" s="16" t="s">
        <v>47</v>
      </c>
      <c r="J203" s="16" t="s">
        <v>26</v>
      </c>
      <c r="K203" s="16" t="s">
        <v>20</v>
      </c>
      <c r="L203" s="16" t="s">
        <v>20</v>
      </c>
      <c r="O203"/>
      <c r="P203"/>
    </row>
    <row r="204" spans="1:16" x14ac:dyDescent="0.25">
      <c r="A204" s="16" t="s">
        <v>281</v>
      </c>
      <c r="B204" s="13">
        <v>45995</v>
      </c>
      <c r="C204" s="13">
        <v>45995</v>
      </c>
      <c r="D204" s="16" t="s">
        <v>13</v>
      </c>
      <c r="E204" s="16" t="s">
        <v>29</v>
      </c>
      <c r="F204" s="16" t="s">
        <v>66</v>
      </c>
      <c r="G204" s="16" t="s">
        <v>31</v>
      </c>
      <c r="H204" s="16" t="s">
        <v>37</v>
      </c>
      <c r="I204" s="16" t="s">
        <v>52</v>
      </c>
      <c r="J204" s="16" t="s">
        <v>18</v>
      </c>
      <c r="K204" s="16" t="s">
        <v>20</v>
      </c>
      <c r="L204" s="16" t="s">
        <v>39</v>
      </c>
      <c r="O204"/>
      <c r="P204"/>
    </row>
    <row r="205" spans="1:16" x14ac:dyDescent="0.25">
      <c r="A205" s="16" t="s">
        <v>282</v>
      </c>
      <c r="B205" s="13">
        <v>45924</v>
      </c>
      <c r="C205" s="13">
        <v>45924</v>
      </c>
      <c r="D205" s="16" t="s">
        <v>28</v>
      </c>
      <c r="E205" s="16" t="s">
        <v>14</v>
      </c>
      <c r="F205" s="16" t="s">
        <v>36</v>
      </c>
      <c r="G205" s="16" t="s">
        <v>16</v>
      </c>
      <c r="H205" s="16" t="s">
        <v>136</v>
      </c>
      <c r="I205" s="16" t="s">
        <v>52</v>
      </c>
      <c r="J205" s="16" t="s">
        <v>26</v>
      </c>
      <c r="K205" s="16" t="s">
        <v>39</v>
      </c>
      <c r="L205" s="16" t="s">
        <v>39</v>
      </c>
      <c r="O205"/>
      <c r="P205"/>
    </row>
    <row r="206" spans="1:16" x14ac:dyDescent="0.25">
      <c r="A206" s="16" t="s">
        <v>283</v>
      </c>
      <c r="B206" s="13">
        <v>45788</v>
      </c>
      <c r="C206" s="13">
        <v>45798</v>
      </c>
      <c r="D206" s="16" t="s">
        <v>13</v>
      </c>
      <c r="E206" s="16" t="s">
        <v>14</v>
      </c>
      <c r="F206" s="16" t="s">
        <v>66</v>
      </c>
      <c r="G206" s="16" t="s">
        <v>42</v>
      </c>
      <c r="H206" s="16" t="s">
        <v>56</v>
      </c>
      <c r="I206" s="16" t="s">
        <v>17</v>
      </c>
      <c r="J206" s="16" t="s">
        <v>60</v>
      </c>
      <c r="K206" s="16" t="s">
        <v>39</v>
      </c>
      <c r="L206" s="16" t="s">
        <v>39</v>
      </c>
      <c r="O206"/>
      <c r="P206"/>
    </row>
    <row r="207" spans="1:16" x14ac:dyDescent="0.25">
      <c r="A207" s="16" t="s">
        <v>284</v>
      </c>
      <c r="B207" s="13">
        <v>45661</v>
      </c>
      <c r="C207" s="13">
        <v>45670</v>
      </c>
      <c r="D207" s="16" t="s">
        <v>45</v>
      </c>
      <c r="E207" s="16" t="s">
        <v>14</v>
      </c>
      <c r="F207" s="16" t="s">
        <v>15</v>
      </c>
      <c r="G207" s="16" t="s">
        <v>55</v>
      </c>
      <c r="H207" s="16" t="s">
        <v>77</v>
      </c>
      <c r="I207" s="16" t="s">
        <v>47</v>
      </c>
      <c r="J207" s="16" t="s">
        <v>60</v>
      </c>
      <c r="K207" s="16" t="s">
        <v>19</v>
      </c>
      <c r="L207" s="16" t="s">
        <v>19</v>
      </c>
      <c r="O207"/>
      <c r="P207"/>
    </row>
    <row r="208" spans="1:16" x14ac:dyDescent="0.25">
      <c r="A208" s="16" t="s">
        <v>285</v>
      </c>
      <c r="B208" s="13">
        <v>45717</v>
      </c>
      <c r="C208" s="13"/>
      <c r="D208" s="16" t="s">
        <v>49</v>
      </c>
      <c r="E208" s="16" t="s">
        <v>14</v>
      </c>
      <c r="F208" s="16" t="s">
        <v>15</v>
      </c>
      <c r="G208" s="16" t="s">
        <v>55</v>
      </c>
      <c r="H208" s="16" t="s">
        <v>51</v>
      </c>
      <c r="I208" s="16" t="s">
        <v>25</v>
      </c>
      <c r="J208" s="16" t="s">
        <v>60</v>
      </c>
      <c r="K208" s="16" t="s">
        <v>19</v>
      </c>
      <c r="L208" s="16" t="s">
        <v>19</v>
      </c>
      <c r="O208"/>
      <c r="P208"/>
    </row>
    <row r="209" spans="1:16" x14ac:dyDescent="0.25">
      <c r="A209" s="16" t="s">
        <v>286</v>
      </c>
      <c r="B209" s="13">
        <v>45989</v>
      </c>
      <c r="C209" s="13">
        <v>45989</v>
      </c>
      <c r="D209" s="16" t="s">
        <v>13</v>
      </c>
      <c r="E209" s="16" t="s">
        <v>29</v>
      </c>
      <c r="F209" s="16" t="s">
        <v>50</v>
      </c>
      <c r="G209" s="16" t="s">
        <v>42</v>
      </c>
      <c r="H209" s="16" t="s">
        <v>77</v>
      </c>
      <c r="I209" s="16" t="s">
        <v>17</v>
      </c>
      <c r="J209" s="16" t="s">
        <v>26</v>
      </c>
      <c r="K209" s="16" t="s">
        <v>19</v>
      </c>
      <c r="L209" s="16" t="s">
        <v>19</v>
      </c>
      <c r="O209"/>
      <c r="P209"/>
    </row>
    <row r="210" spans="1:16" x14ac:dyDescent="0.25">
      <c r="A210" s="16" t="s">
        <v>287</v>
      </c>
      <c r="B210" s="13">
        <v>45899</v>
      </c>
      <c r="C210" s="13">
        <v>45901</v>
      </c>
      <c r="D210" s="16" t="s">
        <v>28</v>
      </c>
      <c r="E210" s="16" t="s">
        <v>29</v>
      </c>
      <c r="F210" s="16" t="s">
        <v>41</v>
      </c>
      <c r="G210" s="16" t="s">
        <v>23</v>
      </c>
      <c r="H210" s="16" t="s">
        <v>136</v>
      </c>
      <c r="I210" s="16" t="s">
        <v>17</v>
      </c>
      <c r="J210" s="16" t="s">
        <v>18</v>
      </c>
      <c r="K210" s="16" t="s">
        <v>19</v>
      </c>
      <c r="L210" s="16" t="s">
        <v>39</v>
      </c>
      <c r="O210"/>
      <c r="P210"/>
    </row>
    <row r="211" spans="1:16" x14ac:dyDescent="0.25">
      <c r="A211" s="16" t="s">
        <v>288</v>
      </c>
      <c r="B211" s="13">
        <v>45916</v>
      </c>
      <c r="C211" s="13">
        <v>45921</v>
      </c>
      <c r="D211" s="16" t="s">
        <v>13</v>
      </c>
      <c r="E211" s="16" t="s">
        <v>29</v>
      </c>
      <c r="F211" s="16" t="s">
        <v>54</v>
      </c>
      <c r="G211" s="16" t="s">
        <v>16</v>
      </c>
      <c r="H211" s="16" t="s">
        <v>79</v>
      </c>
      <c r="I211" s="16" t="s">
        <v>25</v>
      </c>
      <c r="J211" s="16" t="s">
        <v>34</v>
      </c>
      <c r="K211" s="16" t="s">
        <v>19</v>
      </c>
      <c r="L211" s="16" t="s">
        <v>19</v>
      </c>
      <c r="O211"/>
      <c r="P211"/>
    </row>
    <row r="212" spans="1:16" x14ac:dyDescent="0.25">
      <c r="A212" s="16" t="s">
        <v>289</v>
      </c>
      <c r="B212" s="12">
        <v>45904</v>
      </c>
      <c r="C212" s="13">
        <v>45904</v>
      </c>
      <c r="D212" s="16" t="s">
        <v>28</v>
      </c>
      <c r="E212" s="16" t="s">
        <v>14</v>
      </c>
      <c r="F212" s="16" t="s">
        <v>66</v>
      </c>
      <c r="G212" s="16" t="s">
        <v>42</v>
      </c>
      <c r="H212" s="16" t="s">
        <v>128</v>
      </c>
      <c r="I212" s="16" t="s">
        <v>25</v>
      </c>
      <c r="J212" s="16" t="s">
        <v>26</v>
      </c>
      <c r="K212" s="16" t="s">
        <v>19</v>
      </c>
      <c r="L212" s="16" t="s">
        <v>19</v>
      </c>
      <c r="O212"/>
      <c r="P212"/>
    </row>
    <row r="213" spans="1:16" x14ac:dyDescent="0.25">
      <c r="A213" s="16" t="s">
        <v>290</v>
      </c>
      <c r="B213" s="13">
        <v>45661</v>
      </c>
      <c r="C213" s="13">
        <v>45665</v>
      </c>
      <c r="D213" s="16" t="s">
        <v>45</v>
      </c>
      <c r="E213" s="16" t="s">
        <v>29</v>
      </c>
      <c r="F213" s="16" t="s">
        <v>36</v>
      </c>
      <c r="G213" s="16" t="s">
        <v>23</v>
      </c>
      <c r="H213" s="16" t="s">
        <v>46</v>
      </c>
      <c r="I213" s="16" t="s">
        <v>33</v>
      </c>
      <c r="J213" s="16" t="s">
        <v>26</v>
      </c>
      <c r="K213" s="16" t="s">
        <v>19</v>
      </c>
      <c r="L213" s="16" t="s">
        <v>20</v>
      </c>
      <c r="O213"/>
      <c r="P213"/>
    </row>
    <row r="214" spans="1:16" x14ac:dyDescent="0.25">
      <c r="A214" s="16" t="s">
        <v>291</v>
      </c>
      <c r="B214" s="13">
        <v>45815</v>
      </c>
      <c r="C214" s="13">
        <v>45815</v>
      </c>
      <c r="D214" s="16" t="s">
        <v>13</v>
      </c>
      <c r="E214" s="16" t="s">
        <v>29</v>
      </c>
      <c r="F214" s="16" t="s">
        <v>36</v>
      </c>
      <c r="G214" s="16" t="s">
        <v>31</v>
      </c>
      <c r="H214" s="16" t="s">
        <v>59</v>
      </c>
      <c r="I214" s="16" t="s">
        <v>69</v>
      </c>
      <c r="J214" s="16" t="s">
        <v>60</v>
      </c>
      <c r="K214" s="16" t="s">
        <v>19</v>
      </c>
      <c r="L214" s="16" t="s">
        <v>20</v>
      </c>
      <c r="O214"/>
      <c r="P214"/>
    </row>
    <row r="215" spans="1:16" x14ac:dyDescent="0.25">
      <c r="A215" s="16" t="s">
        <v>292</v>
      </c>
      <c r="B215" s="13">
        <v>45732</v>
      </c>
      <c r="C215" s="13">
        <v>45740</v>
      </c>
      <c r="D215" s="16" t="s">
        <v>49</v>
      </c>
      <c r="E215" s="16" t="s">
        <v>29</v>
      </c>
      <c r="F215" s="16" t="s">
        <v>50</v>
      </c>
      <c r="G215" s="16" t="s">
        <v>31</v>
      </c>
      <c r="H215" s="16" t="s">
        <v>59</v>
      </c>
      <c r="I215" s="16" t="s">
        <v>17</v>
      </c>
      <c r="J215" s="16" t="s">
        <v>34</v>
      </c>
      <c r="K215" s="16" t="s">
        <v>39</v>
      </c>
      <c r="L215" s="16" t="s">
        <v>19</v>
      </c>
      <c r="O215"/>
      <c r="P215"/>
    </row>
    <row r="216" spans="1:16" x14ac:dyDescent="0.25">
      <c r="A216" s="16" t="s">
        <v>293</v>
      </c>
      <c r="B216" s="13">
        <v>45675</v>
      </c>
      <c r="C216" s="16">
        <v>45681</v>
      </c>
      <c r="D216" s="16" t="s">
        <v>45</v>
      </c>
      <c r="E216" s="16" t="s">
        <v>76</v>
      </c>
      <c r="F216" s="16" t="s">
        <v>41</v>
      </c>
      <c r="G216" s="16" t="s">
        <v>42</v>
      </c>
      <c r="H216" s="16" t="s">
        <v>37</v>
      </c>
      <c r="I216" s="16" t="s">
        <v>38</v>
      </c>
      <c r="J216" s="16" t="s">
        <v>34</v>
      </c>
      <c r="K216" s="16" t="s">
        <v>19</v>
      </c>
      <c r="L216" s="16" t="s">
        <v>20</v>
      </c>
      <c r="O216"/>
      <c r="P216"/>
    </row>
    <row r="217" spans="1:16" x14ac:dyDescent="0.25">
      <c r="A217" s="16" t="s">
        <v>294</v>
      </c>
      <c r="B217" s="13">
        <v>45836</v>
      </c>
      <c r="C217" s="16">
        <v>45839</v>
      </c>
      <c r="D217" s="16" t="s">
        <v>28</v>
      </c>
      <c r="E217" s="16" t="s">
        <v>58</v>
      </c>
      <c r="F217" s="16" t="s">
        <v>36</v>
      </c>
      <c r="G217" s="16" t="s">
        <v>55</v>
      </c>
      <c r="H217" s="16" t="s">
        <v>24</v>
      </c>
      <c r="I217" s="16" t="s">
        <v>25</v>
      </c>
      <c r="J217" s="16" t="s">
        <v>34</v>
      </c>
      <c r="K217" s="16" t="s">
        <v>20</v>
      </c>
      <c r="L217" s="16" t="s">
        <v>19</v>
      </c>
      <c r="O217"/>
      <c r="P217"/>
    </row>
    <row r="218" spans="1:16" x14ac:dyDescent="0.25">
      <c r="A218" s="16" t="s">
        <v>295</v>
      </c>
      <c r="B218" s="13">
        <v>45946</v>
      </c>
      <c r="C218" s="13">
        <v>45948</v>
      </c>
      <c r="D218" s="16" t="s">
        <v>49</v>
      </c>
      <c r="E218" s="16" t="s">
        <v>14</v>
      </c>
      <c r="F218" s="16" t="s">
        <v>22</v>
      </c>
      <c r="G218" s="16" t="s">
        <v>23</v>
      </c>
      <c r="H218" s="16" t="s">
        <v>43</v>
      </c>
      <c r="I218" s="16" t="s">
        <v>33</v>
      </c>
      <c r="J218" s="16" t="s">
        <v>34</v>
      </c>
      <c r="K218" s="16" t="s">
        <v>19</v>
      </c>
      <c r="L218" s="16" t="s">
        <v>19</v>
      </c>
      <c r="O218"/>
      <c r="P218"/>
    </row>
    <row r="219" spans="1:16" x14ac:dyDescent="0.25">
      <c r="A219" s="16" t="s">
        <v>296</v>
      </c>
      <c r="B219" s="13">
        <v>45705</v>
      </c>
      <c r="C219" s="13">
        <v>45710</v>
      </c>
      <c r="D219" s="16" t="s">
        <v>45</v>
      </c>
      <c r="E219" s="16" t="s">
        <v>14</v>
      </c>
      <c r="F219" s="16" t="s">
        <v>297</v>
      </c>
      <c r="G219" s="16" t="s">
        <v>16</v>
      </c>
      <c r="H219" s="16" t="s">
        <v>37</v>
      </c>
      <c r="I219" s="16" t="s">
        <v>69</v>
      </c>
      <c r="J219" s="16" t="s">
        <v>60</v>
      </c>
      <c r="K219" s="16" t="s">
        <v>20</v>
      </c>
      <c r="L219" s="16" t="s">
        <v>39</v>
      </c>
      <c r="O219"/>
      <c r="P219"/>
    </row>
    <row r="220" spans="1:16" x14ac:dyDescent="0.25">
      <c r="A220" s="16" t="s">
        <v>298</v>
      </c>
      <c r="B220" s="12">
        <v>45712</v>
      </c>
      <c r="D220" s="16" t="s">
        <v>49</v>
      </c>
      <c r="E220" s="16" t="s">
        <v>58</v>
      </c>
      <c r="F220" s="16" t="s">
        <v>15</v>
      </c>
      <c r="G220" s="16" t="s">
        <v>23</v>
      </c>
      <c r="H220" s="16" t="s">
        <v>77</v>
      </c>
      <c r="I220" s="16" t="s">
        <v>33</v>
      </c>
      <c r="J220" s="16" t="s">
        <v>34</v>
      </c>
      <c r="K220" s="16" t="s">
        <v>20</v>
      </c>
      <c r="L220" s="16" t="s">
        <v>20</v>
      </c>
      <c r="O220"/>
      <c r="P220"/>
    </row>
    <row r="221" spans="1:16" x14ac:dyDescent="0.25">
      <c r="A221" s="16" t="s">
        <v>299</v>
      </c>
      <c r="B221" s="12">
        <v>45953</v>
      </c>
      <c r="C221" s="13"/>
      <c r="D221" s="16" t="s">
        <v>45</v>
      </c>
      <c r="E221" s="16" t="s">
        <v>29</v>
      </c>
      <c r="F221" s="16" t="s">
        <v>66</v>
      </c>
      <c r="G221" s="16" t="s">
        <v>16</v>
      </c>
      <c r="H221" s="16" t="s">
        <v>56</v>
      </c>
      <c r="I221" s="16" t="s">
        <v>17</v>
      </c>
      <c r="J221" s="16" t="s">
        <v>26</v>
      </c>
      <c r="K221" s="16" t="s">
        <v>20</v>
      </c>
      <c r="L221" s="16" t="s">
        <v>19</v>
      </c>
      <c r="O221"/>
      <c r="P221"/>
    </row>
    <row r="222" spans="1:16" x14ac:dyDescent="0.25">
      <c r="A222" s="16" t="s">
        <v>300</v>
      </c>
      <c r="B222" s="13">
        <v>45843</v>
      </c>
      <c r="C222" s="13">
        <v>45843</v>
      </c>
      <c r="D222" s="16" t="s">
        <v>13</v>
      </c>
      <c r="E222" s="16" t="s">
        <v>14</v>
      </c>
      <c r="F222" s="16" t="s">
        <v>301</v>
      </c>
      <c r="G222" s="16" t="s">
        <v>23</v>
      </c>
      <c r="H222" s="16" t="s">
        <v>56</v>
      </c>
      <c r="I222" s="16" t="s">
        <v>25</v>
      </c>
      <c r="J222" s="16" t="s">
        <v>60</v>
      </c>
      <c r="K222" s="16" t="s">
        <v>39</v>
      </c>
      <c r="L222" s="16" t="s">
        <v>20</v>
      </c>
      <c r="O222"/>
      <c r="P222"/>
    </row>
    <row r="223" spans="1:16" x14ac:dyDescent="0.25">
      <c r="A223" s="16" t="s">
        <v>302</v>
      </c>
      <c r="B223" s="12">
        <v>45709</v>
      </c>
      <c r="C223" s="13">
        <v>45713</v>
      </c>
      <c r="D223" s="16" t="s">
        <v>45</v>
      </c>
      <c r="E223" s="16" t="s">
        <v>14</v>
      </c>
      <c r="F223" s="16" t="s">
        <v>54</v>
      </c>
      <c r="G223" s="16" t="s">
        <v>31</v>
      </c>
      <c r="H223" s="16" t="s">
        <v>79</v>
      </c>
      <c r="I223" s="16" t="s">
        <v>47</v>
      </c>
      <c r="J223" s="16" t="s">
        <v>26</v>
      </c>
      <c r="K223" s="16" t="s">
        <v>20</v>
      </c>
      <c r="L223" s="16" t="s">
        <v>20</v>
      </c>
      <c r="O223"/>
      <c r="P223"/>
    </row>
    <row r="224" spans="1:16" x14ac:dyDescent="0.25">
      <c r="A224" s="16" t="s">
        <v>303</v>
      </c>
      <c r="B224" s="13">
        <v>45688</v>
      </c>
      <c r="C224" s="13"/>
      <c r="D224" s="16" t="s">
        <v>49</v>
      </c>
      <c r="E224" s="16" t="s">
        <v>14</v>
      </c>
      <c r="F224" s="16" t="s">
        <v>41</v>
      </c>
      <c r="G224" s="16" t="s">
        <v>16</v>
      </c>
      <c r="H224" s="16" t="s">
        <v>92</v>
      </c>
      <c r="I224" s="16" t="s">
        <v>47</v>
      </c>
      <c r="J224" s="16" t="s">
        <v>60</v>
      </c>
      <c r="K224" s="16" t="s">
        <v>20</v>
      </c>
      <c r="L224" s="16" t="s">
        <v>20</v>
      </c>
      <c r="O224"/>
      <c r="P224"/>
    </row>
    <row r="225" spans="1:16" x14ac:dyDescent="0.25">
      <c r="A225" s="16" t="s">
        <v>304</v>
      </c>
      <c r="B225" s="13">
        <v>45919</v>
      </c>
      <c r="C225" s="16">
        <v>45924</v>
      </c>
      <c r="D225" s="16" t="s">
        <v>49</v>
      </c>
      <c r="E225" s="16" t="s">
        <v>98</v>
      </c>
      <c r="F225" s="16" t="s">
        <v>305</v>
      </c>
      <c r="G225" s="16" t="s">
        <v>42</v>
      </c>
      <c r="H225" s="16" t="s">
        <v>77</v>
      </c>
      <c r="I225" s="16" t="s">
        <v>47</v>
      </c>
      <c r="J225" s="16" t="s">
        <v>60</v>
      </c>
      <c r="K225" s="16" t="s">
        <v>19</v>
      </c>
      <c r="L225" s="16" t="s">
        <v>20</v>
      </c>
      <c r="O225"/>
      <c r="P225"/>
    </row>
    <row r="226" spans="1:16" x14ac:dyDescent="0.25">
      <c r="A226" s="16" t="s">
        <v>306</v>
      </c>
      <c r="B226" s="13">
        <v>45794</v>
      </c>
      <c r="C226" s="13">
        <v>45796</v>
      </c>
      <c r="D226" s="16" t="s">
        <v>45</v>
      </c>
      <c r="E226" s="16" t="s">
        <v>29</v>
      </c>
      <c r="F226" s="16" t="s">
        <v>50</v>
      </c>
      <c r="G226" s="16" t="s">
        <v>16</v>
      </c>
      <c r="H226" s="16" t="s">
        <v>62</v>
      </c>
      <c r="I226" s="16" t="s">
        <v>38</v>
      </c>
      <c r="J226" s="16" t="s">
        <v>34</v>
      </c>
      <c r="K226" s="16" t="s">
        <v>39</v>
      </c>
      <c r="L226" s="16" t="s">
        <v>39</v>
      </c>
      <c r="O226"/>
      <c r="P226"/>
    </row>
    <row r="227" spans="1:16" x14ac:dyDescent="0.25">
      <c r="A227" s="16" t="s">
        <v>307</v>
      </c>
      <c r="B227" s="13">
        <v>45671</v>
      </c>
      <c r="C227" s="13">
        <v>45672</v>
      </c>
      <c r="D227" s="16" t="s">
        <v>49</v>
      </c>
      <c r="E227" s="16" t="s">
        <v>171</v>
      </c>
      <c r="F227" s="16" t="s">
        <v>64</v>
      </c>
      <c r="G227" s="16" t="s">
        <v>31</v>
      </c>
      <c r="H227" s="16" t="s">
        <v>95</v>
      </c>
      <c r="I227" s="16" t="s">
        <v>25</v>
      </c>
      <c r="J227" s="16" t="s">
        <v>18</v>
      </c>
      <c r="K227" s="16" t="s">
        <v>39</v>
      </c>
      <c r="L227" s="16" t="s">
        <v>20</v>
      </c>
      <c r="O227"/>
      <c r="P227"/>
    </row>
    <row r="228" spans="1:16" x14ac:dyDescent="0.25">
      <c r="A228" s="16" t="s">
        <v>308</v>
      </c>
      <c r="B228" s="13">
        <v>45934</v>
      </c>
      <c r="C228" s="13">
        <v>45938</v>
      </c>
      <c r="D228" s="16" t="s">
        <v>28</v>
      </c>
      <c r="E228" s="16" t="s">
        <v>14</v>
      </c>
      <c r="F228" s="16" t="s">
        <v>66</v>
      </c>
      <c r="G228" s="16" t="s">
        <v>31</v>
      </c>
      <c r="H228" s="16" t="s">
        <v>62</v>
      </c>
      <c r="I228" s="16" t="s">
        <v>25</v>
      </c>
      <c r="J228" s="16" t="s">
        <v>34</v>
      </c>
      <c r="K228" s="16" t="s">
        <v>20</v>
      </c>
      <c r="L228" s="16" t="s">
        <v>20</v>
      </c>
      <c r="O228"/>
      <c r="P228"/>
    </row>
    <row r="229" spans="1:16" x14ac:dyDescent="0.25">
      <c r="A229" s="16" t="s">
        <v>309</v>
      </c>
      <c r="B229" s="13">
        <v>45791</v>
      </c>
      <c r="D229" s="16" t="s">
        <v>45</v>
      </c>
      <c r="E229" s="16" t="s">
        <v>58</v>
      </c>
      <c r="F229" s="16" t="s">
        <v>30</v>
      </c>
      <c r="G229" s="16" t="s">
        <v>55</v>
      </c>
      <c r="H229" s="16" t="s">
        <v>51</v>
      </c>
      <c r="I229" s="16" t="s">
        <v>38</v>
      </c>
      <c r="J229" s="16" t="s">
        <v>26</v>
      </c>
      <c r="K229" s="16" t="s">
        <v>39</v>
      </c>
      <c r="L229" s="16" t="s">
        <v>20</v>
      </c>
      <c r="O229"/>
      <c r="P229"/>
    </row>
    <row r="230" spans="1:16" x14ac:dyDescent="0.25">
      <c r="A230" s="16" t="s">
        <v>310</v>
      </c>
      <c r="B230" s="12">
        <v>45945</v>
      </c>
      <c r="C230" s="16">
        <v>45946</v>
      </c>
      <c r="D230" s="16" t="s">
        <v>13</v>
      </c>
      <c r="E230" s="16" t="s">
        <v>58</v>
      </c>
      <c r="F230" s="16" t="s">
        <v>103</v>
      </c>
      <c r="G230" s="16" t="s">
        <v>31</v>
      </c>
      <c r="H230" s="16"/>
      <c r="I230" s="16" t="s">
        <v>52</v>
      </c>
      <c r="J230" s="16" t="s">
        <v>34</v>
      </c>
      <c r="K230" s="16" t="s">
        <v>20</v>
      </c>
      <c r="L230" s="16" t="s">
        <v>39</v>
      </c>
      <c r="O230"/>
      <c r="P230"/>
    </row>
    <row r="231" spans="1:16" x14ac:dyDescent="0.25">
      <c r="A231" s="16" t="s">
        <v>311</v>
      </c>
      <c r="B231" s="13">
        <v>45714</v>
      </c>
      <c r="C231" s="16">
        <v>45716</v>
      </c>
      <c r="D231" s="16" t="s">
        <v>45</v>
      </c>
      <c r="E231" s="16" t="s">
        <v>76</v>
      </c>
      <c r="F231" s="16" t="s">
        <v>36</v>
      </c>
      <c r="G231" s="16" t="s">
        <v>31</v>
      </c>
      <c r="H231" s="16" t="s">
        <v>37</v>
      </c>
      <c r="I231" s="16" t="s">
        <v>47</v>
      </c>
      <c r="J231" s="16" t="s">
        <v>18</v>
      </c>
      <c r="K231" s="16" t="s">
        <v>19</v>
      </c>
      <c r="L231" s="16" t="s">
        <v>39</v>
      </c>
      <c r="O231"/>
      <c r="P231"/>
    </row>
    <row r="232" spans="1:16" x14ac:dyDescent="0.25">
      <c r="A232" s="16" t="s">
        <v>312</v>
      </c>
      <c r="B232" s="13">
        <v>45913</v>
      </c>
      <c r="C232" s="13">
        <v>45916</v>
      </c>
      <c r="D232" s="16" t="s">
        <v>49</v>
      </c>
      <c r="E232" s="16" t="s">
        <v>29</v>
      </c>
      <c r="F232" s="16" t="s">
        <v>41</v>
      </c>
      <c r="G232" s="16" t="s">
        <v>23</v>
      </c>
      <c r="H232" s="16" t="s">
        <v>136</v>
      </c>
      <c r="I232" s="16" t="s">
        <v>25</v>
      </c>
      <c r="J232" s="16" t="s">
        <v>34</v>
      </c>
      <c r="K232" s="16" t="s">
        <v>20</v>
      </c>
      <c r="L232" s="16" t="s">
        <v>20</v>
      </c>
      <c r="O232"/>
      <c r="P232"/>
    </row>
    <row r="233" spans="1:16" x14ac:dyDescent="0.25">
      <c r="A233" s="16" t="s">
        <v>313</v>
      </c>
      <c r="B233" s="13">
        <v>45675</v>
      </c>
      <c r="C233" s="13"/>
      <c r="D233" s="16" t="s">
        <v>13</v>
      </c>
      <c r="E233" s="16" t="s">
        <v>29</v>
      </c>
      <c r="F233" s="16" t="s">
        <v>22</v>
      </c>
      <c r="G233" s="16" t="s">
        <v>16</v>
      </c>
      <c r="H233" s="16" t="s">
        <v>32</v>
      </c>
      <c r="I233" s="16" t="s">
        <v>47</v>
      </c>
      <c r="J233" s="16" t="s">
        <v>34</v>
      </c>
      <c r="K233" s="16" t="s">
        <v>19</v>
      </c>
      <c r="L233" s="16" t="s">
        <v>20</v>
      </c>
      <c r="O233"/>
      <c r="P233"/>
    </row>
    <row r="234" spans="1:16" x14ac:dyDescent="0.25">
      <c r="A234" s="16" t="s">
        <v>314</v>
      </c>
      <c r="B234" s="13">
        <v>45999</v>
      </c>
      <c r="C234" s="13"/>
      <c r="D234" s="16" t="s">
        <v>45</v>
      </c>
      <c r="E234" s="16" t="s">
        <v>29</v>
      </c>
      <c r="F234" s="16" t="s">
        <v>36</v>
      </c>
      <c r="G234" s="16" t="s">
        <v>42</v>
      </c>
      <c r="H234" s="16" t="s">
        <v>128</v>
      </c>
      <c r="I234" s="16" t="s">
        <v>25</v>
      </c>
      <c r="J234" s="16" t="s">
        <v>26</v>
      </c>
      <c r="K234" s="16" t="s">
        <v>39</v>
      </c>
      <c r="L234" s="16" t="s">
        <v>19</v>
      </c>
      <c r="O234"/>
      <c r="P234"/>
    </row>
    <row r="235" spans="1:16" x14ac:dyDescent="0.25">
      <c r="A235" s="16" t="s">
        <v>315</v>
      </c>
      <c r="B235" s="13">
        <v>45913</v>
      </c>
      <c r="C235" s="13"/>
      <c r="D235" s="16" t="s">
        <v>28</v>
      </c>
      <c r="E235" s="16" t="s">
        <v>14</v>
      </c>
      <c r="F235" s="16" t="s">
        <v>36</v>
      </c>
      <c r="G235" s="16" t="s">
        <v>55</v>
      </c>
      <c r="H235" s="16" t="s">
        <v>62</v>
      </c>
      <c r="I235" s="16" t="s">
        <v>47</v>
      </c>
      <c r="J235" s="16" t="s">
        <v>26</v>
      </c>
      <c r="K235" s="16" t="s">
        <v>39</v>
      </c>
      <c r="L235" s="16" t="s">
        <v>39</v>
      </c>
      <c r="O235"/>
      <c r="P235"/>
    </row>
    <row r="236" spans="1:16" x14ac:dyDescent="0.25">
      <c r="A236" s="16" t="s">
        <v>316</v>
      </c>
      <c r="B236" s="13">
        <v>45851</v>
      </c>
      <c r="C236" s="16">
        <v>45853</v>
      </c>
      <c r="D236" s="16" t="s">
        <v>45</v>
      </c>
      <c r="E236" s="16" t="s">
        <v>76</v>
      </c>
      <c r="F236" s="16" t="s">
        <v>30</v>
      </c>
      <c r="G236" s="16" t="s">
        <v>16</v>
      </c>
      <c r="H236" s="16" t="s">
        <v>46</v>
      </c>
      <c r="I236" s="16" t="s">
        <v>52</v>
      </c>
      <c r="J236" s="16" t="s">
        <v>18</v>
      </c>
      <c r="K236" s="16" t="s">
        <v>19</v>
      </c>
      <c r="L236" s="16" t="s">
        <v>19</v>
      </c>
      <c r="O236"/>
      <c r="P236"/>
    </row>
    <row r="237" spans="1:16" x14ac:dyDescent="0.25">
      <c r="A237" s="16" t="s">
        <v>317</v>
      </c>
      <c r="B237" s="13">
        <v>45935</v>
      </c>
      <c r="C237" s="16">
        <v>45939</v>
      </c>
      <c r="D237" s="16" t="s">
        <v>13</v>
      </c>
      <c r="E237" s="16" t="s">
        <v>58</v>
      </c>
      <c r="F237" s="16" t="s">
        <v>22</v>
      </c>
      <c r="G237" s="16" t="s">
        <v>23</v>
      </c>
      <c r="H237" s="16" t="s">
        <v>37</v>
      </c>
      <c r="I237" s="16" t="s">
        <v>47</v>
      </c>
      <c r="J237" s="16" t="s">
        <v>18</v>
      </c>
      <c r="K237" s="16" t="s">
        <v>19</v>
      </c>
      <c r="L237" s="16" t="s">
        <v>20</v>
      </c>
      <c r="O237"/>
      <c r="P237"/>
    </row>
    <row r="238" spans="1:16" x14ac:dyDescent="0.25">
      <c r="A238" s="16" t="s">
        <v>318</v>
      </c>
      <c r="B238" s="12">
        <v>45986</v>
      </c>
      <c r="C238" s="13">
        <v>45994</v>
      </c>
      <c r="D238" s="16" t="s">
        <v>49</v>
      </c>
      <c r="E238" s="16" t="s">
        <v>29</v>
      </c>
      <c r="F238" s="16" t="s">
        <v>237</v>
      </c>
      <c r="G238" s="16" t="s">
        <v>55</v>
      </c>
      <c r="H238" s="16" t="s">
        <v>106</v>
      </c>
      <c r="I238" s="16" t="s">
        <v>17</v>
      </c>
      <c r="J238" s="16" t="s">
        <v>26</v>
      </c>
      <c r="K238" s="16" t="s">
        <v>39</v>
      </c>
      <c r="L238" s="16" t="s">
        <v>19</v>
      </c>
      <c r="O238"/>
      <c r="P238"/>
    </row>
    <row r="239" spans="1:16" x14ac:dyDescent="0.25">
      <c r="A239" s="16" t="s">
        <v>319</v>
      </c>
      <c r="B239" s="13">
        <v>45664</v>
      </c>
      <c r="C239" s="13">
        <v>45665</v>
      </c>
      <c r="D239" s="16" t="s">
        <v>49</v>
      </c>
      <c r="E239" s="16" t="s">
        <v>29</v>
      </c>
      <c r="F239" s="16" t="s">
        <v>30</v>
      </c>
      <c r="G239" s="16" t="s">
        <v>31</v>
      </c>
      <c r="H239" s="16" t="s">
        <v>37</v>
      </c>
      <c r="I239" s="16" t="s">
        <v>38</v>
      </c>
      <c r="J239" s="16" t="s">
        <v>60</v>
      </c>
      <c r="K239" s="16" t="s">
        <v>19</v>
      </c>
      <c r="L239" s="16" t="s">
        <v>19</v>
      </c>
      <c r="O239"/>
      <c r="P239"/>
    </row>
    <row r="240" spans="1:16" x14ac:dyDescent="0.25">
      <c r="A240" s="16" t="s">
        <v>320</v>
      </c>
      <c r="B240" s="12">
        <v>45707</v>
      </c>
      <c r="C240" s="13"/>
      <c r="D240" s="16" t="s">
        <v>28</v>
      </c>
      <c r="E240" s="16" t="s">
        <v>29</v>
      </c>
      <c r="F240" s="16" t="s">
        <v>15</v>
      </c>
      <c r="G240" s="16" t="s">
        <v>55</v>
      </c>
      <c r="H240" s="16" t="s">
        <v>43</v>
      </c>
      <c r="I240" s="16" t="s">
        <v>69</v>
      </c>
      <c r="J240" s="16" t="s">
        <v>34</v>
      </c>
      <c r="K240" s="16" t="s">
        <v>20</v>
      </c>
      <c r="L240" s="16" t="s">
        <v>19</v>
      </c>
      <c r="O240"/>
      <c r="P240"/>
    </row>
    <row r="241" spans="1:16" x14ac:dyDescent="0.25">
      <c r="A241" s="16" t="s">
        <v>321</v>
      </c>
      <c r="B241" s="12">
        <v>45711</v>
      </c>
      <c r="D241" s="16" t="s">
        <v>28</v>
      </c>
      <c r="E241" s="16" t="s">
        <v>76</v>
      </c>
      <c r="F241" s="16" t="s">
        <v>41</v>
      </c>
      <c r="G241" s="16" t="s">
        <v>42</v>
      </c>
      <c r="H241" s="16" t="s">
        <v>37</v>
      </c>
      <c r="I241" s="16" t="s">
        <v>33</v>
      </c>
      <c r="J241" s="16" t="s">
        <v>18</v>
      </c>
      <c r="K241" s="16" t="s">
        <v>20</v>
      </c>
      <c r="L241" s="16" t="s">
        <v>39</v>
      </c>
      <c r="O241"/>
      <c r="P241"/>
    </row>
    <row r="242" spans="1:16" x14ac:dyDescent="0.25">
      <c r="A242" s="16" t="s">
        <v>322</v>
      </c>
      <c r="B242" s="13">
        <v>45946</v>
      </c>
      <c r="C242" s="13">
        <v>45947</v>
      </c>
      <c r="D242" s="16" t="s">
        <v>28</v>
      </c>
      <c r="E242" s="16" t="s">
        <v>14</v>
      </c>
      <c r="F242" s="16" t="s">
        <v>30</v>
      </c>
      <c r="G242" s="16" t="s">
        <v>23</v>
      </c>
      <c r="H242" s="16" t="s">
        <v>37</v>
      </c>
      <c r="I242" s="16" t="s">
        <v>25</v>
      </c>
      <c r="J242" s="16" t="s">
        <v>18</v>
      </c>
      <c r="K242" s="16" t="s">
        <v>20</v>
      </c>
      <c r="L242" s="16" t="s">
        <v>20</v>
      </c>
      <c r="O242"/>
      <c r="P242"/>
    </row>
    <row r="243" spans="1:16" x14ac:dyDescent="0.25">
      <c r="A243" s="16" t="s">
        <v>323</v>
      </c>
      <c r="B243" s="12">
        <v>45941</v>
      </c>
      <c r="C243" s="13">
        <v>45943</v>
      </c>
      <c r="D243" s="16" t="s">
        <v>28</v>
      </c>
      <c r="E243" s="16" t="s">
        <v>29</v>
      </c>
      <c r="F243" s="16" t="s">
        <v>41</v>
      </c>
      <c r="G243" s="16" t="s">
        <v>23</v>
      </c>
      <c r="H243" s="16" t="s">
        <v>56</v>
      </c>
      <c r="I243" s="16" t="s">
        <v>17</v>
      </c>
      <c r="J243" s="16" t="s">
        <v>34</v>
      </c>
      <c r="K243" s="16" t="s">
        <v>20</v>
      </c>
      <c r="L243" s="16" t="s">
        <v>39</v>
      </c>
      <c r="O243"/>
      <c r="P243"/>
    </row>
    <row r="244" spans="1:16" x14ac:dyDescent="0.25">
      <c r="A244" s="16" t="s">
        <v>324</v>
      </c>
      <c r="B244" s="12">
        <v>45953</v>
      </c>
      <c r="C244" s="13">
        <v>45954</v>
      </c>
      <c r="D244" s="16" t="s">
        <v>49</v>
      </c>
      <c r="E244" s="16" t="s">
        <v>29</v>
      </c>
      <c r="F244" s="16" t="s">
        <v>50</v>
      </c>
      <c r="G244" s="16" t="s">
        <v>55</v>
      </c>
      <c r="H244" s="16" t="s">
        <v>128</v>
      </c>
      <c r="I244" s="16" t="s">
        <v>25</v>
      </c>
      <c r="J244" s="16" t="s">
        <v>26</v>
      </c>
      <c r="K244" s="16" t="s">
        <v>39</v>
      </c>
      <c r="L244" s="16" t="s">
        <v>19</v>
      </c>
      <c r="O244"/>
      <c r="P244"/>
    </row>
    <row r="245" spans="1:16" x14ac:dyDescent="0.25">
      <c r="A245" s="16" t="s">
        <v>325</v>
      </c>
      <c r="B245" s="13">
        <v>45736</v>
      </c>
      <c r="C245" s="13"/>
      <c r="D245" s="16" t="s">
        <v>28</v>
      </c>
      <c r="E245" s="16" t="s">
        <v>29</v>
      </c>
      <c r="F245" s="16" t="s">
        <v>228</v>
      </c>
      <c r="G245" s="16" t="s">
        <v>31</v>
      </c>
      <c r="H245" s="16" t="s">
        <v>128</v>
      </c>
      <c r="I245" s="16" t="s">
        <v>69</v>
      </c>
      <c r="J245" s="16" t="s">
        <v>18</v>
      </c>
      <c r="K245" s="16" t="s">
        <v>19</v>
      </c>
      <c r="L245" s="16" t="s">
        <v>19</v>
      </c>
      <c r="O245"/>
      <c r="P245"/>
    </row>
    <row r="246" spans="1:16" x14ac:dyDescent="0.25">
      <c r="A246" s="16" t="s">
        <v>326</v>
      </c>
      <c r="B246" s="13">
        <v>45880</v>
      </c>
      <c r="C246" s="13">
        <v>45880</v>
      </c>
      <c r="D246" s="16" t="s">
        <v>45</v>
      </c>
      <c r="E246" s="16" t="s">
        <v>29</v>
      </c>
      <c r="F246" s="16" t="s">
        <v>50</v>
      </c>
      <c r="G246" s="16" t="s">
        <v>23</v>
      </c>
      <c r="H246" s="16" t="s">
        <v>106</v>
      </c>
      <c r="I246" s="16" t="s">
        <v>47</v>
      </c>
      <c r="J246" s="16" t="s">
        <v>60</v>
      </c>
      <c r="K246" s="16" t="s">
        <v>19</v>
      </c>
      <c r="L246" s="16" t="s">
        <v>20</v>
      </c>
      <c r="O246"/>
      <c r="P246"/>
    </row>
    <row r="247" spans="1:16" x14ac:dyDescent="0.25">
      <c r="A247" s="16" t="s">
        <v>327</v>
      </c>
      <c r="B247" s="13">
        <v>45822</v>
      </c>
      <c r="C247" s="13">
        <v>45822</v>
      </c>
      <c r="D247" s="16" t="s">
        <v>45</v>
      </c>
      <c r="E247" s="16" t="s">
        <v>14</v>
      </c>
      <c r="F247" s="16" t="s">
        <v>54</v>
      </c>
      <c r="G247" s="16" t="s">
        <v>42</v>
      </c>
      <c r="H247" s="16" t="s">
        <v>110</v>
      </c>
      <c r="I247" s="16" t="s">
        <v>33</v>
      </c>
      <c r="J247" s="16" t="s">
        <v>26</v>
      </c>
      <c r="K247" s="16" t="s">
        <v>20</v>
      </c>
      <c r="L247" s="16" t="s">
        <v>19</v>
      </c>
      <c r="O247"/>
      <c r="P247"/>
    </row>
    <row r="248" spans="1:16" x14ac:dyDescent="0.25">
      <c r="A248" s="16" t="s">
        <v>328</v>
      </c>
      <c r="B248" s="13">
        <v>45714</v>
      </c>
      <c r="C248" s="16">
        <v>45715</v>
      </c>
      <c r="D248" s="16" t="s">
        <v>45</v>
      </c>
      <c r="E248" s="16" t="s">
        <v>58</v>
      </c>
      <c r="F248" s="16" t="s">
        <v>66</v>
      </c>
      <c r="G248" s="16" t="s">
        <v>31</v>
      </c>
      <c r="H248" s="16" t="s">
        <v>134</v>
      </c>
      <c r="I248" s="16" t="s">
        <v>25</v>
      </c>
      <c r="J248" s="16" t="s">
        <v>60</v>
      </c>
      <c r="K248" s="16" t="s">
        <v>39</v>
      </c>
      <c r="L248" s="16" t="s">
        <v>20</v>
      </c>
      <c r="O248"/>
      <c r="P248"/>
    </row>
    <row r="249" spans="1:16" x14ac:dyDescent="0.25">
      <c r="A249" s="16" t="s">
        <v>329</v>
      </c>
      <c r="B249" s="13">
        <v>45685</v>
      </c>
      <c r="C249" s="13">
        <v>45685</v>
      </c>
      <c r="D249" s="16" t="s">
        <v>49</v>
      </c>
      <c r="E249" s="16" t="s">
        <v>14</v>
      </c>
      <c r="F249" s="16" t="s">
        <v>50</v>
      </c>
      <c r="G249" s="16"/>
      <c r="H249" s="16" t="s">
        <v>136</v>
      </c>
      <c r="I249" s="16" t="s">
        <v>33</v>
      </c>
      <c r="J249" s="16" t="s">
        <v>34</v>
      </c>
      <c r="K249" s="16" t="s">
        <v>39</v>
      </c>
      <c r="L249" s="16" t="s">
        <v>19</v>
      </c>
      <c r="O249"/>
      <c r="P249"/>
    </row>
    <row r="250" spans="1:16" x14ac:dyDescent="0.25">
      <c r="A250" s="16" t="s">
        <v>330</v>
      </c>
      <c r="B250" s="13">
        <v>45759</v>
      </c>
      <c r="C250" s="13">
        <v>45767</v>
      </c>
      <c r="D250" s="16" t="s">
        <v>13</v>
      </c>
      <c r="E250" s="16" t="s">
        <v>14</v>
      </c>
      <c r="F250" s="16" t="s">
        <v>66</v>
      </c>
      <c r="G250" s="16" t="s">
        <v>55</v>
      </c>
      <c r="H250" s="16" t="s">
        <v>95</v>
      </c>
      <c r="I250" s="16" t="s">
        <v>17</v>
      </c>
      <c r="J250" s="16" t="s">
        <v>34</v>
      </c>
      <c r="K250" s="16" t="s">
        <v>39</v>
      </c>
      <c r="L250" s="16" t="s">
        <v>39</v>
      </c>
      <c r="O250"/>
      <c r="P250"/>
    </row>
    <row r="251" spans="1:16" x14ac:dyDescent="0.25">
      <c r="A251" s="16" t="s">
        <v>331</v>
      </c>
      <c r="B251" s="13">
        <v>45673</v>
      </c>
      <c r="C251" s="13">
        <v>45676</v>
      </c>
      <c r="D251" s="16" t="s">
        <v>28</v>
      </c>
      <c r="E251" s="16" t="s">
        <v>14</v>
      </c>
      <c r="F251" s="16" t="s">
        <v>36</v>
      </c>
      <c r="G251" s="16" t="s">
        <v>16</v>
      </c>
      <c r="H251" s="16" t="s">
        <v>128</v>
      </c>
      <c r="I251" s="16" t="s">
        <v>33</v>
      </c>
      <c r="J251" s="16" t="s">
        <v>60</v>
      </c>
      <c r="K251" s="16" t="s">
        <v>20</v>
      </c>
      <c r="L251" s="16" t="s">
        <v>20</v>
      </c>
      <c r="O251"/>
      <c r="P251"/>
    </row>
    <row r="252" spans="1:16" x14ac:dyDescent="0.25">
      <c r="A252" s="16" t="s">
        <v>332</v>
      </c>
      <c r="B252" s="13">
        <v>45992</v>
      </c>
      <c r="C252" s="13"/>
      <c r="D252" s="16" t="s">
        <v>28</v>
      </c>
      <c r="E252" s="16" t="s">
        <v>14</v>
      </c>
      <c r="F252" s="16" t="s">
        <v>36</v>
      </c>
      <c r="G252" s="16" t="s">
        <v>23</v>
      </c>
      <c r="H252" s="16" t="s">
        <v>77</v>
      </c>
      <c r="I252" s="16" t="s">
        <v>52</v>
      </c>
      <c r="J252" s="16" t="s">
        <v>34</v>
      </c>
      <c r="K252" s="16" t="s">
        <v>20</v>
      </c>
      <c r="L252" s="16" t="s">
        <v>19</v>
      </c>
      <c r="O252"/>
      <c r="P252"/>
    </row>
    <row r="253" spans="1:16" x14ac:dyDescent="0.25">
      <c r="A253" s="16" t="s">
        <v>333</v>
      </c>
      <c r="B253" s="13">
        <v>45720</v>
      </c>
      <c r="C253" s="16">
        <v>45726</v>
      </c>
      <c r="D253" s="16" t="s">
        <v>49</v>
      </c>
      <c r="E253" s="16" t="s">
        <v>76</v>
      </c>
      <c r="F253" s="16" t="s">
        <v>305</v>
      </c>
      <c r="G253" s="16" t="s">
        <v>31</v>
      </c>
      <c r="H253" s="16" t="s">
        <v>56</v>
      </c>
      <c r="I253" s="16" t="s">
        <v>52</v>
      </c>
      <c r="J253" s="16" t="s">
        <v>60</v>
      </c>
      <c r="K253" s="16" t="s">
        <v>39</v>
      </c>
      <c r="L253" s="16" t="s">
        <v>39</v>
      </c>
      <c r="O253"/>
      <c r="P253"/>
    </row>
    <row r="254" spans="1:16" x14ac:dyDescent="0.25">
      <c r="A254" s="16" t="s">
        <v>334</v>
      </c>
      <c r="B254" s="12">
        <v>45732</v>
      </c>
      <c r="C254" s="13">
        <v>45732</v>
      </c>
      <c r="D254" s="16" t="s">
        <v>28</v>
      </c>
      <c r="E254" s="16" t="s">
        <v>29</v>
      </c>
      <c r="F254" s="16" t="s">
        <v>54</v>
      </c>
      <c r="G254" s="16" t="s">
        <v>31</v>
      </c>
      <c r="H254" s="16" t="s">
        <v>110</v>
      </c>
      <c r="I254" s="16" t="s">
        <v>38</v>
      </c>
      <c r="J254" s="16" t="s">
        <v>26</v>
      </c>
      <c r="K254" s="16" t="s">
        <v>20</v>
      </c>
      <c r="L254" s="16" t="s">
        <v>19</v>
      </c>
      <c r="O254"/>
      <c r="P254"/>
    </row>
    <row r="255" spans="1:16" x14ac:dyDescent="0.25">
      <c r="A255" s="16" t="s">
        <v>335</v>
      </c>
      <c r="B255" s="13">
        <v>45698</v>
      </c>
      <c r="C255" s="13">
        <v>45705</v>
      </c>
      <c r="D255" s="16" t="s">
        <v>13</v>
      </c>
      <c r="E255" s="16" t="s">
        <v>29</v>
      </c>
      <c r="F255" s="16" t="s">
        <v>103</v>
      </c>
      <c r="G255" s="16" t="s">
        <v>16</v>
      </c>
      <c r="H255" s="16" t="s">
        <v>59</v>
      </c>
      <c r="I255" s="16" t="s">
        <v>38</v>
      </c>
      <c r="J255" s="16" t="s">
        <v>18</v>
      </c>
      <c r="K255" s="16" t="s">
        <v>20</v>
      </c>
      <c r="L255" s="16" t="s">
        <v>39</v>
      </c>
      <c r="O255"/>
      <c r="P255"/>
    </row>
    <row r="256" spans="1:16" x14ac:dyDescent="0.25">
      <c r="A256" s="16" t="s">
        <v>336</v>
      </c>
      <c r="B256" s="13">
        <v>45882</v>
      </c>
      <c r="C256" s="16">
        <v>45883</v>
      </c>
      <c r="D256" s="16" t="s">
        <v>28</v>
      </c>
      <c r="E256" s="16" t="s">
        <v>58</v>
      </c>
      <c r="F256" s="16" t="s">
        <v>30</v>
      </c>
      <c r="G256" s="16" t="s">
        <v>55</v>
      </c>
      <c r="H256" s="16" t="s">
        <v>136</v>
      </c>
      <c r="I256" s="16" t="s">
        <v>25</v>
      </c>
      <c r="J256" s="16" t="s">
        <v>60</v>
      </c>
      <c r="K256" s="16" t="s">
        <v>20</v>
      </c>
      <c r="L256" s="16" t="s">
        <v>39</v>
      </c>
      <c r="O256"/>
      <c r="P256"/>
    </row>
    <row r="257" spans="1:16" x14ac:dyDescent="0.25">
      <c r="A257" s="16" t="s">
        <v>337</v>
      </c>
      <c r="B257" s="12">
        <v>45679</v>
      </c>
      <c r="C257" s="13">
        <v>45680</v>
      </c>
      <c r="D257" s="16" t="s">
        <v>45</v>
      </c>
      <c r="E257" s="16" t="s">
        <v>14</v>
      </c>
      <c r="F257" s="16" t="s">
        <v>50</v>
      </c>
      <c r="G257" s="16" t="s">
        <v>16</v>
      </c>
      <c r="H257" s="16" t="s">
        <v>151</v>
      </c>
      <c r="I257" s="16" t="s">
        <v>69</v>
      </c>
      <c r="J257" s="16" t="s">
        <v>18</v>
      </c>
      <c r="K257" s="16" t="s">
        <v>19</v>
      </c>
      <c r="L257" s="16" t="s">
        <v>39</v>
      </c>
      <c r="O257"/>
      <c r="P257"/>
    </row>
    <row r="258" spans="1:16" x14ac:dyDescent="0.25">
      <c r="A258" s="16" t="s">
        <v>338</v>
      </c>
      <c r="B258" s="13">
        <v>45914</v>
      </c>
      <c r="D258" s="16" t="s">
        <v>45</v>
      </c>
      <c r="E258" s="16" t="s">
        <v>76</v>
      </c>
      <c r="F258" s="16" t="s">
        <v>15</v>
      </c>
      <c r="G258" s="16" t="s">
        <v>23</v>
      </c>
      <c r="H258" s="16" t="s">
        <v>37</v>
      </c>
      <c r="I258" s="16" t="s">
        <v>17</v>
      </c>
      <c r="J258" s="16" t="s">
        <v>18</v>
      </c>
      <c r="K258" s="16" t="s">
        <v>19</v>
      </c>
      <c r="L258" s="16" t="s">
        <v>19</v>
      </c>
      <c r="O258"/>
      <c r="P258"/>
    </row>
    <row r="259" spans="1:16" x14ac:dyDescent="0.25">
      <c r="A259" s="16" t="s">
        <v>339</v>
      </c>
      <c r="B259" s="13">
        <v>45982</v>
      </c>
      <c r="C259" s="13">
        <v>45983</v>
      </c>
      <c r="D259" s="16" t="s">
        <v>49</v>
      </c>
      <c r="E259" s="16" t="s">
        <v>171</v>
      </c>
      <c r="F259" s="16" t="s">
        <v>15</v>
      </c>
      <c r="G259" s="16" t="s">
        <v>55</v>
      </c>
      <c r="H259" s="16" t="s">
        <v>51</v>
      </c>
      <c r="I259" s="16" t="s">
        <v>25</v>
      </c>
      <c r="J259" s="16" t="s">
        <v>34</v>
      </c>
      <c r="K259" s="16" t="s">
        <v>19</v>
      </c>
      <c r="L259" s="16" t="s">
        <v>20</v>
      </c>
      <c r="O259"/>
      <c r="P259"/>
    </row>
    <row r="260" spans="1:16" x14ac:dyDescent="0.25">
      <c r="A260" s="16" t="s">
        <v>340</v>
      </c>
      <c r="B260" s="13">
        <v>45886</v>
      </c>
      <c r="C260" s="13">
        <v>45892</v>
      </c>
      <c r="D260" s="16" t="s">
        <v>13</v>
      </c>
      <c r="E260" s="16" t="s">
        <v>29</v>
      </c>
      <c r="F260" s="16" t="s">
        <v>36</v>
      </c>
      <c r="G260" s="16" t="s">
        <v>42</v>
      </c>
      <c r="H260" s="16" t="s">
        <v>73</v>
      </c>
      <c r="I260" s="16" t="s">
        <v>17</v>
      </c>
      <c r="J260" s="16" t="s">
        <v>18</v>
      </c>
      <c r="K260" s="16" t="s">
        <v>19</v>
      </c>
      <c r="L260" s="16" t="s">
        <v>20</v>
      </c>
      <c r="O260"/>
      <c r="P260"/>
    </row>
    <row r="261" spans="1:16" x14ac:dyDescent="0.25">
      <c r="A261" s="16" t="s">
        <v>341</v>
      </c>
      <c r="B261" s="13">
        <v>45661</v>
      </c>
      <c r="C261" s="13"/>
      <c r="D261" s="16" t="s">
        <v>28</v>
      </c>
      <c r="E261" s="16" t="s">
        <v>14</v>
      </c>
      <c r="F261" s="16" t="s">
        <v>36</v>
      </c>
      <c r="G261" s="16" t="s">
        <v>23</v>
      </c>
      <c r="H261" s="16" t="s">
        <v>110</v>
      </c>
      <c r="I261" s="16" t="s">
        <v>69</v>
      </c>
      <c r="J261" s="16" t="s">
        <v>18</v>
      </c>
      <c r="K261" s="16" t="s">
        <v>19</v>
      </c>
      <c r="L261" s="16" t="s">
        <v>19</v>
      </c>
      <c r="O261"/>
      <c r="P261"/>
    </row>
    <row r="262" spans="1:16" x14ac:dyDescent="0.25">
      <c r="A262" s="16" t="s">
        <v>342</v>
      </c>
      <c r="B262" s="13">
        <v>45803</v>
      </c>
      <c r="C262" s="13">
        <v>45804</v>
      </c>
      <c r="D262" s="16" t="s">
        <v>45</v>
      </c>
      <c r="E262" s="16" t="s">
        <v>14</v>
      </c>
      <c r="F262" s="16" t="s">
        <v>22</v>
      </c>
      <c r="G262" s="16" t="s">
        <v>23</v>
      </c>
      <c r="H262" s="16" t="s">
        <v>106</v>
      </c>
      <c r="I262" s="16" t="s">
        <v>17</v>
      </c>
      <c r="J262" s="16" t="s">
        <v>60</v>
      </c>
      <c r="K262" s="16" t="s">
        <v>20</v>
      </c>
      <c r="L262" s="16" t="s">
        <v>39</v>
      </c>
      <c r="O262"/>
      <c r="P262"/>
    </row>
    <row r="263" spans="1:16" x14ac:dyDescent="0.25">
      <c r="A263" s="16" t="s">
        <v>343</v>
      </c>
      <c r="B263" s="13">
        <v>45971</v>
      </c>
      <c r="C263" s="13"/>
      <c r="D263" s="16" t="s">
        <v>49</v>
      </c>
      <c r="E263" s="16" t="s">
        <v>29</v>
      </c>
      <c r="F263" s="16" t="s">
        <v>41</v>
      </c>
      <c r="G263" s="16" t="s">
        <v>55</v>
      </c>
      <c r="H263" s="16" t="s">
        <v>128</v>
      </c>
      <c r="I263" s="16" t="s">
        <v>17</v>
      </c>
      <c r="J263" s="16" t="s">
        <v>60</v>
      </c>
      <c r="K263" s="16" t="s">
        <v>20</v>
      </c>
      <c r="L263" s="16" t="s">
        <v>20</v>
      </c>
      <c r="O263"/>
      <c r="P263"/>
    </row>
    <row r="264" spans="1:16" x14ac:dyDescent="0.25">
      <c r="A264" s="16" t="s">
        <v>344</v>
      </c>
      <c r="B264" s="13">
        <v>45910</v>
      </c>
      <c r="C264" s="16">
        <v>45911</v>
      </c>
      <c r="D264" s="16" t="s">
        <v>49</v>
      </c>
      <c r="E264" s="16" t="s">
        <v>76</v>
      </c>
      <c r="F264" s="16" t="s">
        <v>15</v>
      </c>
      <c r="G264" s="16" t="s">
        <v>23</v>
      </c>
      <c r="H264" s="16"/>
      <c r="I264" s="16" t="s">
        <v>69</v>
      </c>
      <c r="J264" s="16" t="s">
        <v>34</v>
      </c>
      <c r="K264" s="16" t="s">
        <v>39</v>
      </c>
      <c r="L264" s="16" t="s">
        <v>20</v>
      </c>
      <c r="O264"/>
      <c r="P264"/>
    </row>
    <row r="265" spans="1:16" x14ac:dyDescent="0.25">
      <c r="A265" s="16" t="s">
        <v>345</v>
      </c>
      <c r="B265" s="12">
        <v>45692</v>
      </c>
      <c r="C265" s="13">
        <v>45695</v>
      </c>
      <c r="D265" s="16" t="s">
        <v>45</v>
      </c>
      <c r="E265" s="16" t="s">
        <v>14</v>
      </c>
      <c r="F265" s="16" t="s">
        <v>15</v>
      </c>
      <c r="G265" s="16" t="s">
        <v>23</v>
      </c>
      <c r="H265" s="16" t="s">
        <v>79</v>
      </c>
      <c r="I265" s="16" t="s">
        <v>33</v>
      </c>
      <c r="J265" s="16" t="s">
        <v>18</v>
      </c>
      <c r="K265" s="16" t="s">
        <v>39</v>
      </c>
      <c r="L265" s="16" t="s">
        <v>39</v>
      </c>
      <c r="O265"/>
      <c r="P265"/>
    </row>
    <row r="266" spans="1:16" x14ac:dyDescent="0.25">
      <c r="A266" s="16" t="s">
        <v>346</v>
      </c>
      <c r="B266" s="13">
        <v>45869</v>
      </c>
      <c r="C266" s="16">
        <v>45869</v>
      </c>
      <c r="D266" s="16" t="s">
        <v>49</v>
      </c>
      <c r="E266" s="16" t="s">
        <v>76</v>
      </c>
      <c r="F266" s="16" t="s">
        <v>54</v>
      </c>
      <c r="G266" s="16" t="s">
        <v>42</v>
      </c>
      <c r="H266" s="16" t="s">
        <v>106</v>
      </c>
      <c r="I266" s="16" t="s">
        <v>52</v>
      </c>
      <c r="J266" s="16" t="s">
        <v>60</v>
      </c>
      <c r="K266" s="16" t="s">
        <v>20</v>
      </c>
      <c r="L266" s="16" t="s">
        <v>19</v>
      </c>
      <c r="O266"/>
      <c r="P266"/>
    </row>
    <row r="267" spans="1:16" x14ac:dyDescent="0.25">
      <c r="A267" s="16" t="s">
        <v>347</v>
      </c>
      <c r="B267" s="13">
        <v>45950</v>
      </c>
      <c r="C267" s="13">
        <v>45950</v>
      </c>
      <c r="D267" s="16" t="s">
        <v>45</v>
      </c>
      <c r="E267" s="16" t="s">
        <v>29</v>
      </c>
      <c r="F267" s="16" t="s">
        <v>30</v>
      </c>
      <c r="G267" s="16" t="s">
        <v>31</v>
      </c>
      <c r="H267" s="16" t="s">
        <v>37</v>
      </c>
      <c r="I267" s="16" t="s">
        <v>38</v>
      </c>
      <c r="J267" s="16" t="s">
        <v>18</v>
      </c>
      <c r="K267" s="16" t="s">
        <v>39</v>
      </c>
      <c r="L267" s="16" t="s">
        <v>39</v>
      </c>
      <c r="O267"/>
      <c r="P267"/>
    </row>
    <row r="268" spans="1:16" x14ac:dyDescent="0.25">
      <c r="A268" s="16" t="s">
        <v>348</v>
      </c>
      <c r="B268" s="13">
        <v>45705</v>
      </c>
      <c r="C268" s="13">
        <v>45705</v>
      </c>
      <c r="D268" s="16" t="s">
        <v>49</v>
      </c>
      <c r="E268" s="16" t="s">
        <v>29</v>
      </c>
      <c r="F268" s="16" t="s">
        <v>54</v>
      </c>
      <c r="G268" s="16" t="s">
        <v>23</v>
      </c>
      <c r="H268" s="16" t="s">
        <v>43</v>
      </c>
      <c r="I268" s="16" t="s">
        <v>33</v>
      </c>
      <c r="J268" s="16" t="s">
        <v>34</v>
      </c>
      <c r="K268" s="16" t="s">
        <v>19</v>
      </c>
      <c r="L268" s="16" t="s">
        <v>39</v>
      </c>
      <c r="O268"/>
      <c r="P268"/>
    </row>
    <row r="269" spans="1:16" x14ac:dyDescent="0.25">
      <c r="A269" s="16" t="s">
        <v>349</v>
      </c>
      <c r="B269" s="13">
        <v>45925</v>
      </c>
      <c r="D269" s="16" t="s">
        <v>13</v>
      </c>
      <c r="E269" s="16" t="s">
        <v>76</v>
      </c>
      <c r="F269" s="16" t="s">
        <v>54</v>
      </c>
      <c r="G269" s="16" t="s">
        <v>31</v>
      </c>
      <c r="H269" s="16" t="s">
        <v>56</v>
      </c>
      <c r="I269" s="16" t="s">
        <v>25</v>
      </c>
      <c r="J269" s="16" t="s">
        <v>18</v>
      </c>
      <c r="K269" s="16" t="s">
        <v>20</v>
      </c>
      <c r="L269" s="16" t="s">
        <v>19</v>
      </c>
      <c r="O269"/>
      <c r="P269"/>
    </row>
    <row r="270" spans="1:16" x14ac:dyDescent="0.25">
      <c r="A270" s="16" t="s">
        <v>350</v>
      </c>
      <c r="B270" s="13">
        <v>45821</v>
      </c>
      <c r="C270" s="16">
        <v>45826</v>
      </c>
      <c r="D270" s="16" t="s">
        <v>28</v>
      </c>
      <c r="E270" s="16" t="s">
        <v>58</v>
      </c>
      <c r="F270" s="16" t="s">
        <v>15</v>
      </c>
      <c r="G270" s="16" t="s">
        <v>55</v>
      </c>
      <c r="H270" s="16" t="s">
        <v>110</v>
      </c>
      <c r="I270" s="16" t="s">
        <v>47</v>
      </c>
      <c r="J270" s="16" t="s">
        <v>34</v>
      </c>
      <c r="K270" s="16" t="s">
        <v>19</v>
      </c>
      <c r="L270" s="16" t="s">
        <v>39</v>
      </c>
      <c r="O270"/>
      <c r="P270"/>
    </row>
    <row r="271" spans="1:16" x14ac:dyDescent="0.25">
      <c r="A271" s="16" t="s">
        <v>351</v>
      </c>
      <c r="B271" s="13">
        <v>46003</v>
      </c>
      <c r="C271" s="13"/>
      <c r="D271" s="16" t="s">
        <v>13</v>
      </c>
      <c r="E271" s="16" t="s">
        <v>29</v>
      </c>
      <c r="F271" s="16" t="s">
        <v>50</v>
      </c>
      <c r="G271" s="16" t="s">
        <v>55</v>
      </c>
      <c r="H271" s="16" t="s">
        <v>136</v>
      </c>
      <c r="I271" s="16" t="s">
        <v>47</v>
      </c>
      <c r="J271" s="16" t="s">
        <v>34</v>
      </c>
      <c r="K271" s="16" t="s">
        <v>20</v>
      </c>
      <c r="L271" s="16" t="s">
        <v>39</v>
      </c>
      <c r="O271"/>
      <c r="P271"/>
    </row>
    <row r="272" spans="1:16" x14ac:dyDescent="0.25">
      <c r="A272" s="16" t="s">
        <v>352</v>
      </c>
      <c r="B272" s="13">
        <v>46015</v>
      </c>
      <c r="C272" s="13">
        <v>46017</v>
      </c>
      <c r="D272" s="16" t="s">
        <v>49</v>
      </c>
      <c r="E272" s="16" t="s">
        <v>14</v>
      </c>
      <c r="F272" s="16" t="s">
        <v>36</v>
      </c>
      <c r="G272" s="16" t="s">
        <v>42</v>
      </c>
      <c r="H272" s="16" t="s">
        <v>77</v>
      </c>
      <c r="I272" s="16" t="s">
        <v>38</v>
      </c>
      <c r="J272" s="16" t="s">
        <v>34</v>
      </c>
      <c r="K272" s="16" t="s">
        <v>39</v>
      </c>
      <c r="L272" s="16" t="s">
        <v>19</v>
      </c>
      <c r="O272"/>
      <c r="P272"/>
    </row>
    <row r="273" spans="1:16" x14ac:dyDescent="0.25">
      <c r="A273" s="16" t="s">
        <v>353</v>
      </c>
      <c r="B273" s="13">
        <v>45837</v>
      </c>
      <c r="C273" s="13">
        <v>45840</v>
      </c>
      <c r="D273" s="16" t="s">
        <v>13</v>
      </c>
      <c r="E273" s="16" t="s">
        <v>171</v>
      </c>
      <c r="F273" s="16" t="s">
        <v>36</v>
      </c>
      <c r="G273" s="16" t="s">
        <v>31</v>
      </c>
      <c r="H273" s="16" t="s">
        <v>77</v>
      </c>
      <c r="I273" s="16" t="s">
        <v>33</v>
      </c>
      <c r="J273" s="16" t="s">
        <v>34</v>
      </c>
      <c r="K273" s="16" t="s">
        <v>20</v>
      </c>
      <c r="L273" s="16" t="s">
        <v>19</v>
      </c>
      <c r="O273"/>
      <c r="P273"/>
    </row>
    <row r="274" spans="1:16" x14ac:dyDescent="0.25">
      <c r="A274" s="16" t="s">
        <v>354</v>
      </c>
      <c r="B274" s="13">
        <v>45854</v>
      </c>
      <c r="C274" s="13"/>
      <c r="D274" s="16" t="s">
        <v>45</v>
      </c>
      <c r="E274" s="16" t="s">
        <v>29</v>
      </c>
      <c r="F274" s="16" t="s">
        <v>30</v>
      </c>
      <c r="G274" s="16" t="s">
        <v>55</v>
      </c>
      <c r="H274" s="16" t="s">
        <v>134</v>
      </c>
      <c r="I274" s="16" t="s">
        <v>25</v>
      </c>
      <c r="J274" s="16" t="s">
        <v>18</v>
      </c>
      <c r="K274" s="16" t="s">
        <v>19</v>
      </c>
      <c r="L274" s="16" t="s">
        <v>39</v>
      </c>
      <c r="O274"/>
      <c r="P274"/>
    </row>
    <row r="275" spans="1:16" x14ac:dyDescent="0.25">
      <c r="A275" s="16" t="s">
        <v>355</v>
      </c>
      <c r="B275" s="13">
        <v>45885</v>
      </c>
      <c r="C275" s="13"/>
      <c r="D275" s="16" t="s">
        <v>45</v>
      </c>
      <c r="E275" s="16" t="s">
        <v>14</v>
      </c>
      <c r="F275" s="16" t="s">
        <v>41</v>
      </c>
      <c r="G275" s="16" t="s">
        <v>16</v>
      </c>
      <c r="H275" s="16" t="s">
        <v>106</v>
      </c>
      <c r="I275" s="16" t="s">
        <v>33</v>
      </c>
      <c r="J275" s="16" t="s">
        <v>60</v>
      </c>
      <c r="K275" s="16" t="s">
        <v>20</v>
      </c>
      <c r="L275" s="16" t="s">
        <v>20</v>
      </c>
      <c r="O275"/>
      <c r="P275"/>
    </row>
    <row r="276" spans="1:16" x14ac:dyDescent="0.25">
      <c r="A276" s="16" t="s">
        <v>356</v>
      </c>
      <c r="B276" s="13">
        <v>45807</v>
      </c>
      <c r="C276" s="13">
        <v>45808</v>
      </c>
      <c r="D276" s="16" t="s">
        <v>28</v>
      </c>
      <c r="E276" s="16" t="s">
        <v>29</v>
      </c>
      <c r="F276" s="16" t="s">
        <v>36</v>
      </c>
      <c r="G276" s="16" t="s">
        <v>23</v>
      </c>
      <c r="H276" s="16" t="s">
        <v>151</v>
      </c>
      <c r="I276" s="16" t="s">
        <v>52</v>
      </c>
      <c r="J276" s="16" t="s">
        <v>26</v>
      </c>
      <c r="K276" s="16" t="s">
        <v>19</v>
      </c>
      <c r="L276" s="16" t="s">
        <v>19</v>
      </c>
      <c r="O276"/>
      <c r="P276"/>
    </row>
    <row r="277" spans="1:16" x14ac:dyDescent="0.25">
      <c r="A277" s="16" t="s">
        <v>357</v>
      </c>
      <c r="B277" s="13">
        <v>45939</v>
      </c>
      <c r="C277" s="16">
        <v>45940</v>
      </c>
      <c r="D277" s="16" t="s">
        <v>13</v>
      </c>
      <c r="E277" s="16" t="s">
        <v>76</v>
      </c>
      <c r="F277" s="16" t="s">
        <v>50</v>
      </c>
      <c r="G277" s="16" t="s">
        <v>55</v>
      </c>
      <c r="H277" s="16" t="s">
        <v>134</v>
      </c>
      <c r="I277" s="16" t="s">
        <v>69</v>
      </c>
      <c r="J277" s="16" t="s">
        <v>34</v>
      </c>
      <c r="K277" s="16" t="s">
        <v>20</v>
      </c>
      <c r="L277" s="16" t="s">
        <v>19</v>
      </c>
      <c r="O277"/>
      <c r="P277"/>
    </row>
    <row r="278" spans="1:16" x14ac:dyDescent="0.25">
      <c r="A278" s="16" t="s">
        <v>358</v>
      </c>
      <c r="B278" s="13">
        <v>45842</v>
      </c>
      <c r="C278" s="13">
        <v>45843</v>
      </c>
      <c r="D278" s="16" t="s">
        <v>45</v>
      </c>
      <c r="E278" s="16" t="s">
        <v>14</v>
      </c>
      <c r="F278" s="16" t="s">
        <v>66</v>
      </c>
      <c r="G278" s="16" t="s">
        <v>42</v>
      </c>
      <c r="H278" s="16" t="s">
        <v>79</v>
      </c>
      <c r="I278" s="16" t="s">
        <v>25</v>
      </c>
      <c r="J278" s="16" t="s">
        <v>26</v>
      </c>
      <c r="K278" s="16" t="s">
        <v>39</v>
      </c>
      <c r="L278" s="16" t="s">
        <v>39</v>
      </c>
      <c r="O278"/>
      <c r="P278"/>
    </row>
    <row r="279" spans="1:16" x14ac:dyDescent="0.25">
      <c r="A279" s="16" t="s">
        <v>359</v>
      </c>
      <c r="B279" s="13">
        <v>45888</v>
      </c>
      <c r="C279" s="13">
        <v>45888</v>
      </c>
      <c r="D279" s="16" t="s">
        <v>45</v>
      </c>
      <c r="E279" s="16" t="s">
        <v>29</v>
      </c>
      <c r="F279" s="16" t="s">
        <v>54</v>
      </c>
      <c r="G279" s="16"/>
      <c r="H279" s="16" t="s">
        <v>24</v>
      </c>
      <c r="I279" s="16" t="s">
        <v>33</v>
      </c>
      <c r="J279" s="16" t="s">
        <v>60</v>
      </c>
      <c r="K279" s="16" t="s">
        <v>39</v>
      </c>
      <c r="L279" s="16" t="s">
        <v>19</v>
      </c>
      <c r="O279"/>
      <c r="P279"/>
    </row>
    <row r="280" spans="1:16" x14ac:dyDescent="0.25">
      <c r="A280" s="16" t="s">
        <v>360</v>
      </c>
      <c r="B280" s="13">
        <v>45927</v>
      </c>
      <c r="C280" s="13">
        <v>45930</v>
      </c>
      <c r="D280" s="16" t="s">
        <v>28</v>
      </c>
      <c r="E280" s="16" t="s">
        <v>14</v>
      </c>
      <c r="F280" s="16" t="s">
        <v>54</v>
      </c>
      <c r="G280" s="16" t="s">
        <v>31</v>
      </c>
      <c r="H280" s="16" t="s">
        <v>79</v>
      </c>
      <c r="I280" s="16" t="s">
        <v>52</v>
      </c>
      <c r="J280" s="16" t="s">
        <v>60</v>
      </c>
      <c r="K280" s="16" t="s">
        <v>39</v>
      </c>
      <c r="L280" s="16" t="s">
        <v>39</v>
      </c>
      <c r="O280"/>
      <c r="P280"/>
    </row>
    <row r="281" spans="1:16" x14ac:dyDescent="0.25">
      <c r="A281" s="16" t="s">
        <v>361</v>
      </c>
      <c r="B281" s="13">
        <v>45898</v>
      </c>
      <c r="C281" s="16">
        <v>45903</v>
      </c>
      <c r="D281" s="16" t="s">
        <v>28</v>
      </c>
      <c r="E281" s="16" t="s">
        <v>76</v>
      </c>
      <c r="F281" s="16" t="s">
        <v>50</v>
      </c>
      <c r="G281" s="16" t="s">
        <v>16</v>
      </c>
      <c r="H281" s="16" t="s">
        <v>32</v>
      </c>
      <c r="I281" s="16" t="s">
        <v>52</v>
      </c>
      <c r="J281" s="16" t="s">
        <v>60</v>
      </c>
      <c r="K281" s="16" t="s">
        <v>39</v>
      </c>
      <c r="L281" s="16" t="s">
        <v>19</v>
      </c>
      <c r="O281"/>
      <c r="P281"/>
    </row>
    <row r="282" spans="1:16" x14ac:dyDescent="0.25">
      <c r="A282" s="16" t="s">
        <v>362</v>
      </c>
      <c r="B282" s="13">
        <v>45906</v>
      </c>
      <c r="C282" s="13"/>
      <c r="D282" s="16" t="s">
        <v>28</v>
      </c>
      <c r="E282" s="16" t="s">
        <v>14</v>
      </c>
      <c r="F282" s="16" t="s">
        <v>15</v>
      </c>
      <c r="G282" s="16" t="s">
        <v>23</v>
      </c>
      <c r="H282" s="16" t="s">
        <v>56</v>
      </c>
      <c r="I282" s="16" t="s">
        <v>38</v>
      </c>
      <c r="J282" s="16" t="s">
        <v>18</v>
      </c>
      <c r="K282" s="16" t="s">
        <v>20</v>
      </c>
      <c r="L282" s="16" t="s">
        <v>39</v>
      </c>
      <c r="O282"/>
      <c r="P282"/>
    </row>
    <row r="283" spans="1:16" x14ac:dyDescent="0.25">
      <c r="A283" s="16" t="s">
        <v>363</v>
      </c>
      <c r="B283" s="13">
        <v>45750</v>
      </c>
      <c r="C283" s="16">
        <v>45751</v>
      </c>
      <c r="D283" s="16" t="s">
        <v>45</v>
      </c>
      <c r="E283" s="16" t="s">
        <v>58</v>
      </c>
      <c r="F283" s="16" t="s">
        <v>30</v>
      </c>
      <c r="G283" s="16" t="s">
        <v>42</v>
      </c>
      <c r="H283" s="16" t="s">
        <v>46</v>
      </c>
      <c r="I283" s="16" t="s">
        <v>25</v>
      </c>
      <c r="J283" s="16" t="s">
        <v>60</v>
      </c>
      <c r="K283" s="16" t="s">
        <v>39</v>
      </c>
      <c r="L283" s="16" t="s">
        <v>39</v>
      </c>
      <c r="O283"/>
      <c r="P283"/>
    </row>
    <row r="284" spans="1:16" x14ac:dyDescent="0.25">
      <c r="A284" s="16" t="s">
        <v>364</v>
      </c>
      <c r="B284" s="13">
        <v>45862</v>
      </c>
      <c r="C284" s="13">
        <v>45865</v>
      </c>
      <c r="D284" s="16" t="s">
        <v>13</v>
      </c>
      <c r="E284" s="16" t="s">
        <v>14</v>
      </c>
      <c r="F284" s="16" t="s">
        <v>54</v>
      </c>
      <c r="G284" s="16" t="s">
        <v>16</v>
      </c>
      <c r="H284" s="16" t="s">
        <v>151</v>
      </c>
      <c r="I284" s="16" t="s">
        <v>47</v>
      </c>
      <c r="J284" s="16" t="s">
        <v>60</v>
      </c>
      <c r="K284" s="16" t="s">
        <v>19</v>
      </c>
      <c r="L284" s="16" t="s">
        <v>39</v>
      </c>
      <c r="O284"/>
      <c r="P284"/>
    </row>
    <row r="285" spans="1:16" x14ac:dyDescent="0.25">
      <c r="A285" s="16" t="s">
        <v>328</v>
      </c>
      <c r="B285" s="13">
        <v>45879</v>
      </c>
      <c r="C285" s="13">
        <v>45883</v>
      </c>
      <c r="D285" s="16" t="s">
        <v>13</v>
      </c>
      <c r="E285" s="16" t="s">
        <v>29</v>
      </c>
      <c r="F285" s="16" t="s">
        <v>15</v>
      </c>
      <c r="G285" s="16" t="s">
        <v>23</v>
      </c>
      <c r="H285" s="16" t="s">
        <v>79</v>
      </c>
      <c r="I285" s="16" t="s">
        <v>52</v>
      </c>
      <c r="J285" s="16" t="s">
        <v>34</v>
      </c>
      <c r="K285" s="16" t="s">
        <v>20</v>
      </c>
      <c r="L285" s="16" t="s">
        <v>19</v>
      </c>
      <c r="O285"/>
      <c r="P285"/>
    </row>
    <row r="286" spans="1:16" x14ac:dyDescent="0.25">
      <c r="A286" s="16" t="s">
        <v>365</v>
      </c>
      <c r="B286" s="13">
        <v>45926</v>
      </c>
      <c r="C286" s="13"/>
      <c r="D286" s="16" t="s">
        <v>13</v>
      </c>
      <c r="E286" s="16" t="s">
        <v>14</v>
      </c>
      <c r="F286" s="16" t="s">
        <v>36</v>
      </c>
      <c r="G286" s="16" t="s">
        <v>55</v>
      </c>
      <c r="H286" s="16" t="s">
        <v>106</v>
      </c>
      <c r="I286" s="16" t="s">
        <v>25</v>
      </c>
      <c r="J286" s="16" t="s">
        <v>60</v>
      </c>
      <c r="K286" s="16" t="s">
        <v>20</v>
      </c>
      <c r="L286" s="16" t="s">
        <v>39</v>
      </c>
      <c r="O286"/>
      <c r="P286"/>
    </row>
    <row r="287" spans="1:16" x14ac:dyDescent="0.25">
      <c r="A287" s="16" t="s">
        <v>366</v>
      </c>
      <c r="B287" s="13">
        <v>45994</v>
      </c>
      <c r="C287" s="13">
        <v>45994</v>
      </c>
      <c r="D287" s="16" t="s">
        <v>28</v>
      </c>
      <c r="E287" s="16" t="s">
        <v>29</v>
      </c>
      <c r="F287" s="16" t="s">
        <v>66</v>
      </c>
      <c r="G287" s="16" t="s">
        <v>42</v>
      </c>
      <c r="H287" s="16" t="s">
        <v>151</v>
      </c>
      <c r="I287" s="16" t="s">
        <v>17</v>
      </c>
      <c r="J287" s="16" t="s">
        <v>34</v>
      </c>
      <c r="K287" s="16" t="s">
        <v>39</v>
      </c>
      <c r="L287" s="16" t="s">
        <v>39</v>
      </c>
      <c r="O287"/>
      <c r="P287"/>
    </row>
    <row r="288" spans="1:16" x14ac:dyDescent="0.25">
      <c r="A288" s="16" t="s">
        <v>367</v>
      </c>
      <c r="B288" s="13">
        <v>45793</v>
      </c>
      <c r="C288" s="13"/>
      <c r="D288" s="16" t="s">
        <v>49</v>
      </c>
      <c r="E288" s="16" t="s">
        <v>14</v>
      </c>
      <c r="F288" s="16" t="s">
        <v>15</v>
      </c>
      <c r="G288" s="16" t="s">
        <v>31</v>
      </c>
      <c r="H288" s="16" t="s">
        <v>43</v>
      </c>
      <c r="I288" s="16" t="s">
        <v>69</v>
      </c>
      <c r="J288" s="16" t="s">
        <v>34</v>
      </c>
      <c r="K288" s="16" t="s">
        <v>39</v>
      </c>
      <c r="L288" s="16" t="s">
        <v>19</v>
      </c>
      <c r="O288"/>
      <c r="P288"/>
    </row>
    <row r="289" spans="1:16" x14ac:dyDescent="0.25">
      <c r="A289" s="16" t="s">
        <v>368</v>
      </c>
      <c r="B289" s="13">
        <v>45786</v>
      </c>
      <c r="C289" s="16">
        <v>45789</v>
      </c>
      <c r="D289" s="16" t="s">
        <v>49</v>
      </c>
      <c r="E289" s="16" t="s">
        <v>58</v>
      </c>
      <c r="F289" s="16" t="s">
        <v>22</v>
      </c>
      <c r="G289" s="16" t="s">
        <v>55</v>
      </c>
      <c r="H289" s="16" t="s">
        <v>136</v>
      </c>
      <c r="I289" s="16" t="s">
        <v>25</v>
      </c>
      <c r="J289" s="16" t="s">
        <v>18</v>
      </c>
      <c r="K289" s="16" t="s">
        <v>39</v>
      </c>
      <c r="L289" s="16" t="s">
        <v>39</v>
      </c>
      <c r="O289"/>
      <c r="P289"/>
    </row>
    <row r="290" spans="1:16" x14ac:dyDescent="0.25">
      <c r="A290" s="16" t="s">
        <v>114</v>
      </c>
      <c r="B290" s="13">
        <v>45712</v>
      </c>
      <c r="C290" s="13">
        <v>45716</v>
      </c>
      <c r="D290" s="16" t="s">
        <v>13</v>
      </c>
      <c r="E290" s="16" t="s">
        <v>14</v>
      </c>
      <c r="F290" s="16" t="s">
        <v>30</v>
      </c>
      <c r="G290" s="16" t="s">
        <v>31</v>
      </c>
      <c r="H290" s="16" t="s">
        <v>73</v>
      </c>
      <c r="I290" s="16" t="s">
        <v>33</v>
      </c>
      <c r="J290" s="16" t="s">
        <v>60</v>
      </c>
      <c r="K290" s="16" t="s">
        <v>19</v>
      </c>
      <c r="L290" s="16" t="s">
        <v>20</v>
      </c>
      <c r="O290"/>
      <c r="P290"/>
    </row>
    <row r="291" spans="1:16" x14ac:dyDescent="0.25">
      <c r="A291" s="16" t="s">
        <v>369</v>
      </c>
      <c r="B291" s="13">
        <v>45679</v>
      </c>
      <c r="C291" s="13">
        <v>45679</v>
      </c>
      <c r="D291" s="16" t="s">
        <v>49</v>
      </c>
      <c r="E291" s="16" t="s">
        <v>29</v>
      </c>
      <c r="F291" s="16" t="s">
        <v>30</v>
      </c>
      <c r="G291" s="16" t="s">
        <v>55</v>
      </c>
      <c r="H291" s="16" t="s">
        <v>151</v>
      </c>
      <c r="I291" s="16" t="s">
        <v>52</v>
      </c>
      <c r="J291" s="16" t="s">
        <v>60</v>
      </c>
      <c r="K291" s="16" t="s">
        <v>39</v>
      </c>
      <c r="L291" s="16" t="s">
        <v>19</v>
      </c>
      <c r="O291"/>
      <c r="P291"/>
    </row>
    <row r="292" spans="1:16" x14ac:dyDescent="0.25">
      <c r="A292" s="16" t="s">
        <v>370</v>
      </c>
      <c r="B292" s="13">
        <v>45815</v>
      </c>
      <c r="C292" s="13">
        <v>45817</v>
      </c>
      <c r="D292" s="16" t="s">
        <v>45</v>
      </c>
      <c r="E292" s="16" t="s">
        <v>29</v>
      </c>
      <c r="F292" s="16" t="s">
        <v>36</v>
      </c>
      <c r="G292" s="16" t="s">
        <v>55</v>
      </c>
      <c r="H292" s="16" t="s">
        <v>59</v>
      </c>
      <c r="I292" s="16" t="s">
        <v>38</v>
      </c>
      <c r="J292" s="16" t="s">
        <v>34</v>
      </c>
      <c r="K292" s="16" t="s">
        <v>19</v>
      </c>
      <c r="L292" s="16" t="s">
        <v>19</v>
      </c>
      <c r="O292"/>
      <c r="P292"/>
    </row>
    <row r="293" spans="1:16" x14ac:dyDescent="0.25">
      <c r="A293" s="16" t="s">
        <v>371</v>
      </c>
      <c r="B293" s="12">
        <v>45690</v>
      </c>
      <c r="C293" s="13"/>
      <c r="D293" s="16" t="s">
        <v>45</v>
      </c>
      <c r="E293" s="16" t="s">
        <v>14</v>
      </c>
      <c r="F293" s="16" t="s">
        <v>30</v>
      </c>
      <c r="G293" s="16" t="s">
        <v>31</v>
      </c>
      <c r="H293" s="16" t="s">
        <v>24</v>
      </c>
      <c r="I293" s="16" t="s">
        <v>17</v>
      </c>
      <c r="J293" s="16" t="s">
        <v>18</v>
      </c>
      <c r="K293" s="16" t="s">
        <v>19</v>
      </c>
      <c r="L293" s="16" t="s">
        <v>39</v>
      </c>
      <c r="O293"/>
      <c r="P293"/>
    </row>
    <row r="294" spans="1:16" x14ac:dyDescent="0.25">
      <c r="A294" s="16" t="s">
        <v>372</v>
      </c>
      <c r="B294" s="13">
        <v>45660</v>
      </c>
      <c r="C294" s="16">
        <v>45668</v>
      </c>
      <c r="D294" s="16" t="s">
        <v>49</v>
      </c>
      <c r="E294" s="16" t="s">
        <v>58</v>
      </c>
      <c r="F294" s="16" t="s">
        <v>36</v>
      </c>
      <c r="G294" s="16" t="s">
        <v>23</v>
      </c>
      <c r="H294" s="16" t="s">
        <v>106</v>
      </c>
      <c r="I294" s="16" t="s">
        <v>33</v>
      </c>
      <c r="J294" s="16" t="s">
        <v>34</v>
      </c>
      <c r="K294" s="16" t="s">
        <v>39</v>
      </c>
      <c r="L294" s="16" t="s">
        <v>20</v>
      </c>
      <c r="O294"/>
      <c r="P294"/>
    </row>
    <row r="295" spans="1:16" x14ac:dyDescent="0.25">
      <c r="A295" s="16" t="s">
        <v>373</v>
      </c>
      <c r="B295" s="13">
        <v>45765</v>
      </c>
      <c r="C295" s="13">
        <v>45769</v>
      </c>
      <c r="D295" s="16" t="s">
        <v>28</v>
      </c>
      <c r="E295" s="16" t="s">
        <v>14</v>
      </c>
      <c r="F295" s="16" t="s">
        <v>30</v>
      </c>
      <c r="G295" s="16" t="s">
        <v>31</v>
      </c>
      <c r="H295" s="16" t="s">
        <v>95</v>
      </c>
      <c r="I295" s="16" t="s">
        <v>25</v>
      </c>
      <c r="J295" s="16" t="s">
        <v>18</v>
      </c>
      <c r="K295" s="16" t="s">
        <v>19</v>
      </c>
      <c r="L295" s="16" t="s">
        <v>19</v>
      </c>
      <c r="O295"/>
      <c r="P295"/>
    </row>
    <row r="296" spans="1:16" x14ac:dyDescent="0.25">
      <c r="A296" s="16" t="s">
        <v>374</v>
      </c>
      <c r="B296" s="13">
        <v>45775</v>
      </c>
      <c r="C296" s="13">
        <v>45776</v>
      </c>
      <c r="D296" s="16" t="s">
        <v>49</v>
      </c>
      <c r="E296" s="16" t="s">
        <v>85</v>
      </c>
      <c r="F296" s="16" t="s">
        <v>54</v>
      </c>
      <c r="G296" s="16" t="s">
        <v>55</v>
      </c>
      <c r="H296" s="16"/>
      <c r="I296" s="16" t="s">
        <v>52</v>
      </c>
      <c r="J296" s="16" t="s">
        <v>18</v>
      </c>
      <c r="K296" s="16" t="s">
        <v>19</v>
      </c>
      <c r="L296" s="16" t="s">
        <v>19</v>
      </c>
      <c r="O296"/>
      <c r="P296"/>
    </row>
    <row r="297" spans="1:16" x14ac:dyDescent="0.25">
      <c r="A297" s="16" t="s">
        <v>375</v>
      </c>
      <c r="B297" s="13">
        <v>45796</v>
      </c>
      <c r="C297" s="13"/>
      <c r="D297" s="16" t="s">
        <v>45</v>
      </c>
      <c r="E297" s="16" t="s">
        <v>29</v>
      </c>
      <c r="F297" s="16" t="s">
        <v>237</v>
      </c>
      <c r="G297" s="16" t="s">
        <v>23</v>
      </c>
      <c r="H297" s="16" t="s">
        <v>106</v>
      </c>
      <c r="I297" s="16" t="s">
        <v>52</v>
      </c>
      <c r="J297" s="16" t="s">
        <v>34</v>
      </c>
      <c r="K297" s="16" t="s">
        <v>19</v>
      </c>
      <c r="L297" s="16" t="s">
        <v>39</v>
      </c>
      <c r="O297"/>
      <c r="P297"/>
    </row>
    <row r="298" spans="1:16" x14ac:dyDescent="0.25">
      <c r="A298" s="16" t="s">
        <v>376</v>
      </c>
      <c r="B298" s="13">
        <v>45908</v>
      </c>
      <c r="C298" s="13">
        <v>45909</v>
      </c>
      <c r="D298" s="16" t="s">
        <v>49</v>
      </c>
      <c r="E298" s="16" t="s">
        <v>14</v>
      </c>
      <c r="F298" s="16" t="s">
        <v>54</v>
      </c>
      <c r="G298" s="16" t="s">
        <v>16</v>
      </c>
      <c r="H298" s="16" t="s">
        <v>51</v>
      </c>
      <c r="I298" s="16" t="s">
        <v>17</v>
      </c>
      <c r="J298" s="16" t="s">
        <v>26</v>
      </c>
      <c r="K298" s="16" t="s">
        <v>39</v>
      </c>
      <c r="L298" s="16" t="s">
        <v>19</v>
      </c>
      <c r="O298"/>
      <c r="P298"/>
    </row>
    <row r="299" spans="1:16" x14ac:dyDescent="0.25">
      <c r="A299" s="16" t="s">
        <v>377</v>
      </c>
      <c r="B299" s="13">
        <v>45929</v>
      </c>
      <c r="C299" s="13">
        <v>45935</v>
      </c>
      <c r="D299" s="16" t="s">
        <v>45</v>
      </c>
      <c r="E299" s="16" t="s">
        <v>14</v>
      </c>
      <c r="F299" s="16" t="s">
        <v>54</v>
      </c>
      <c r="G299" s="16" t="s">
        <v>16</v>
      </c>
      <c r="H299" s="16" t="s">
        <v>151</v>
      </c>
      <c r="I299" s="16" t="s">
        <v>38</v>
      </c>
      <c r="J299" s="16" t="s">
        <v>26</v>
      </c>
      <c r="K299" s="16" t="s">
        <v>19</v>
      </c>
      <c r="L299" s="16" t="s">
        <v>19</v>
      </c>
      <c r="O299"/>
      <c r="P299"/>
    </row>
    <row r="300" spans="1:16" x14ac:dyDescent="0.25">
      <c r="A300" s="16" t="s">
        <v>378</v>
      </c>
      <c r="B300" s="13">
        <v>45890</v>
      </c>
      <c r="C300" s="16">
        <v>45893</v>
      </c>
      <c r="D300" s="16" t="s">
        <v>49</v>
      </c>
      <c r="E300" s="16" t="s">
        <v>58</v>
      </c>
      <c r="F300" s="16" t="s">
        <v>54</v>
      </c>
      <c r="G300" s="16" t="s">
        <v>23</v>
      </c>
      <c r="H300" s="16" t="s">
        <v>110</v>
      </c>
      <c r="I300" s="16" t="s">
        <v>33</v>
      </c>
      <c r="J300" s="16" t="s">
        <v>60</v>
      </c>
      <c r="K300" s="16" t="s">
        <v>20</v>
      </c>
      <c r="L300" s="16" t="s">
        <v>20</v>
      </c>
      <c r="O300"/>
      <c r="P300"/>
    </row>
    <row r="301" spans="1:16" x14ac:dyDescent="0.25">
      <c r="A301" s="16" t="s">
        <v>379</v>
      </c>
      <c r="B301" s="13">
        <v>45829</v>
      </c>
      <c r="C301" s="13">
        <v>45830</v>
      </c>
      <c r="D301" s="16" t="s">
        <v>45</v>
      </c>
      <c r="E301" s="16" t="s">
        <v>14</v>
      </c>
      <c r="F301" s="16" t="s">
        <v>103</v>
      </c>
      <c r="G301" s="16" t="s">
        <v>23</v>
      </c>
      <c r="H301" s="16" t="s">
        <v>37</v>
      </c>
      <c r="I301" s="16" t="s">
        <v>38</v>
      </c>
      <c r="J301" s="16" t="s">
        <v>18</v>
      </c>
      <c r="K301" s="16" t="s">
        <v>20</v>
      </c>
      <c r="L301" s="16" t="s">
        <v>20</v>
      </c>
      <c r="O301"/>
      <c r="P301"/>
    </row>
    <row r="302" spans="1:16" x14ac:dyDescent="0.25">
      <c r="A302" s="16" t="s">
        <v>380</v>
      </c>
      <c r="B302" s="13">
        <v>45902</v>
      </c>
      <c r="C302" s="16">
        <v>45905</v>
      </c>
      <c r="D302" s="16" t="s">
        <v>45</v>
      </c>
      <c r="E302" s="16" t="s">
        <v>58</v>
      </c>
      <c r="F302" s="16" t="s">
        <v>50</v>
      </c>
      <c r="G302" s="16" t="s">
        <v>31</v>
      </c>
      <c r="H302" s="16" t="s">
        <v>79</v>
      </c>
      <c r="I302" s="16" t="s">
        <v>17</v>
      </c>
      <c r="J302" s="16" t="s">
        <v>34</v>
      </c>
      <c r="K302" s="16" t="s">
        <v>19</v>
      </c>
      <c r="L302" s="16" t="s">
        <v>19</v>
      </c>
      <c r="O302"/>
      <c r="P302"/>
    </row>
    <row r="303" spans="1:16" x14ac:dyDescent="0.25">
      <c r="A303" s="16" t="s">
        <v>381</v>
      </c>
      <c r="B303" s="13">
        <v>45691</v>
      </c>
      <c r="D303" s="16" t="s">
        <v>49</v>
      </c>
      <c r="E303" s="16" t="s">
        <v>58</v>
      </c>
      <c r="F303" s="16" t="s">
        <v>66</v>
      </c>
      <c r="G303" s="16" t="s">
        <v>23</v>
      </c>
      <c r="H303" s="16" t="s">
        <v>110</v>
      </c>
      <c r="I303" s="16" t="s">
        <v>33</v>
      </c>
      <c r="J303" s="16" t="s">
        <v>26</v>
      </c>
      <c r="K303" s="16" t="s">
        <v>39</v>
      </c>
      <c r="L303" s="16" t="s">
        <v>39</v>
      </c>
      <c r="O303"/>
      <c r="P303"/>
    </row>
    <row r="304" spans="1:16" x14ac:dyDescent="0.25">
      <c r="A304" s="16" t="s">
        <v>382</v>
      </c>
      <c r="B304" s="13">
        <v>45935</v>
      </c>
      <c r="C304" s="13">
        <v>45942</v>
      </c>
      <c r="D304" s="16" t="s">
        <v>13</v>
      </c>
      <c r="E304" s="16" t="s">
        <v>14</v>
      </c>
      <c r="F304" s="16" t="s">
        <v>22</v>
      </c>
      <c r="G304" s="16" t="s">
        <v>16</v>
      </c>
      <c r="H304" s="16" t="s">
        <v>134</v>
      </c>
      <c r="I304" s="16" t="s">
        <v>69</v>
      </c>
      <c r="J304" s="16" t="s">
        <v>60</v>
      </c>
      <c r="K304" s="16" t="s">
        <v>19</v>
      </c>
      <c r="L304" s="16" t="s">
        <v>20</v>
      </c>
      <c r="O304"/>
      <c r="P304"/>
    </row>
    <row r="305" spans="1:16" x14ac:dyDescent="0.25">
      <c r="A305" s="16" t="s">
        <v>383</v>
      </c>
      <c r="B305" s="13">
        <v>45814</v>
      </c>
      <c r="C305" s="13"/>
      <c r="D305" s="16" t="s">
        <v>13</v>
      </c>
      <c r="E305" s="16" t="s">
        <v>14</v>
      </c>
      <c r="F305" s="16" t="s">
        <v>15</v>
      </c>
      <c r="G305" s="16" t="s">
        <v>23</v>
      </c>
      <c r="H305" s="16" t="s">
        <v>56</v>
      </c>
      <c r="I305" s="16" t="s">
        <v>52</v>
      </c>
      <c r="J305" s="16" t="s">
        <v>60</v>
      </c>
      <c r="K305" s="16" t="s">
        <v>19</v>
      </c>
      <c r="L305" s="16" t="s">
        <v>20</v>
      </c>
      <c r="O305"/>
      <c r="P305"/>
    </row>
    <row r="306" spans="1:16" x14ac:dyDescent="0.25">
      <c r="A306" s="16" t="s">
        <v>384</v>
      </c>
      <c r="B306" s="13">
        <v>45736</v>
      </c>
      <c r="C306" s="13"/>
      <c r="D306" s="16" t="s">
        <v>13</v>
      </c>
      <c r="E306" s="16" t="s">
        <v>14</v>
      </c>
      <c r="F306" s="16" t="s">
        <v>228</v>
      </c>
      <c r="G306" s="16" t="s">
        <v>42</v>
      </c>
      <c r="H306" s="16" t="s">
        <v>56</v>
      </c>
      <c r="I306" s="16" t="s">
        <v>52</v>
      </c>
      <c r="J306" s="16" t="s">
        <v>18</v>
      </c>
      <c r="K306" s="16" t="s">
        <v>20</v>
      </c>
      <c r="L306" s="16" t="s">
        <v>20</v>
      </c>
      <c r="O306"/>
      <c r="P306"/>
    </row>
    <row r="307" spans="1:16" x14ac:dyDescent="0.25">
      <c r="A307" s="16" t="s">
        <v>385</v>
      </c>
      <c r="B307" s="12">
        <v>45913</v>
      </c>
      <c r="C307" s="13">
        <v>45915</v>
      </c>
      <c r="D307" s="16" t="s">
        <v>45</v>
      </c>
      <c r="E307" s="16" t="s">
        <v>14</v>
      </c>
      <c r="F307" s="16" t="s">
        <v>41</v>
      </c>
      <c r="G307" s="16" t="s">
        <v>16</v>
      </c>
      <c r="H307" s="16" t="s">
        <v>56</v>
      </c>
      <c r="I307" s="16" t="s">
        <v>38</v>
      </c>
      <c r="J307" s="16" t="s">
        <v>34</v>
      </c>
      <c r="K307" s="16" t="s">
        <v>19</v>
      </c>
      <c r="L307" s="16" t="s">
        <v>20</v>
      </c>
      <c r="O307"/>
      <c r="P307"/>
    </row>
    <row r="308" spans="1:16" x14ac:dyDescent="0.25">
      <c r="A308" s="16" t="s">
        <v>386</v>
      </c>
      <c r="B308" s="12">
        <v>45729</v>
      </c>
      <c r="C308" s="16">
        <v>45737</v>
      </c>
      <c r="D308" s="16" t="s">
        <v>28</v>
      </c>
      <c r="E308" s="16" t="s">
        <v>58</v>
      </c>
      <c r="F308" s="16" t="s">
        <v>41</v>
      </c>
      <c r="G308" s="16" t="s">
        <v>16</v>
      </c>
      <c r="H308" s="16" t="s">
        <v>59</v>
      </c>
      <c r="I308" s="16" t="s">
        <v>17</v>
      </c>
      <c r="J308" s="16" t="s">
        <v>26</v>
      </c>
      <c r="K308" s="16" t="s">
        <v>20</v>
      </c>
      <c r="L308" s="16" t="s">
        <v>19</v>
      </c>
      <c r="O308"/>
      <c r="P308"/>
    </row>
    <row r="309" spans="1:16" x14ac:dyDescent="0.25">
      <c r="A309" s="16" t="s">
        <v>387</v>
      </c>
      <c r="B309" s="13">
        <v>45820</v>
      </c>
      <c r="C309" s="16">
        <v>45824</v>
      </c>
      <c r="D309" s="16" t="s">
        <v>45</v>
      </c>
      <c r="E309" s="16" t="s">
        <v>58</v>
      </c>
      <c r="F309" s="16" t="s">
        <v>66</v>
      </c>
      <c r="G309" s="16" t="s">
        <v>23</v>
      </c>
      <c r="H309" s="16" t="s">
        <v>56</v>
      </c>
      <c r="I309" s="16" t="s">
        <v>33</v>
      </c>
      <c r="J309" s="16" t="s">
        <v>18</v>
      </c>
      <c r="K309" s="16" t="s">
        <v>19</v>
      </c>
      <c r="L309" s="16" t="s">
        <v>20</v>
      </c>
      <c r="O309"/>
      <c r="P309"/>
    </row>
    <row r="310" spans="1:16" x14ac:dyDescent="0.25">
      <c r="A310" s="16" t="s">
        <v>388</v>
      </c>
      <c r="B310" s="13">
        <v>45875</v>
      </c>
      <c r="C310" s="13">
        <v>45875</v>
      </c>
      <c r="D310" s="16" t="s">
        <v>45</v>
      </c>
      <c r="E310" s="16" t="s">
        <v>389</v>
      </c>
      <c r="F310" s="16" t="s">
        <v>36</v>
      </c>
      <c r="G310" s="16" t="s">
        <v>55</v>
      </c>
      <c r="H310" s="16" t="s">
        <v>77</v>
      </c>
      <c r="I310" s="16" t="s">
        <v>25</v>
      </c>
      <c r="J310" s="16" t="s">
        <v>26</v>
      </c>
      <c r="K310" s="16" t="s">
        <v>20</v>
      </c>
      <c r="L310" s="16" t="s">
        <v>19</v>
      </c>
      <c r="O310"/>
      <c r="P310"/>
    </row>
    <row r="311" spans="1:16" x14ac:dyDescent="0.25">
      <c r="A311" s="16" t="s">
        <v>390</v>
      </c>
      <c r="B311" s="13">
        <v>45728</v>
      </c>
      <c r="C311" s="13"/>
      <c r="D311" s="16" t="s">
        <v>49</v>
      </c>
      <c r="E311" s="16" t="s">
        <v>29</v>
      </c>
      <c r="F311" s="16" t="s">
        <v>22</v>
      </c>
      <c r="G311" s="16" t="s">
        <v>23</v>
      </c>
      <c r="H311" s="16" t="s">
        <v>134</v>
      </c>
      <c r="I311" s="16" t="s">
        <v>25</v>
      </c>
      <c r="J311" s="16" t="s">
        <v>34</v>
      </c>
      <c r="K311" s="16" t="s">
        <v>19</v>
      </c>
      <c r="L311" s="16" t="s">
        <v>20</v>
      </c>
      <c r="O311"/>
      <c r="P311"/>
    </row>
    <row r="312" spans="1:16" x14ac:dyDescent="0.25">
      <c r="A312" s="16" t="s">
        <v>391</v>
      </c>
      <c r="B312" s="13">
        <v>45899</v>
      </c>
      <c r="C312" s="13"/>
      <c r="D312" s="16" t="s">
        <v>49</v>
      </c>
      <c r="E312" s="16" t="s">
        <v>29</v>
      </c>
      <c r="F312" s="16" t="s">
        <v>15</v>
      </c>
      <c r="G312" s="16" t="s">
        <v>55</v>
      </c>
      <c r="H312" s="16" t="s">
        <v>106</v>
      </c>
      <c r="I312" s="16" t="s">
        <v>47</v>
      </c>
      <c r="J312" s="16" t="s">
        <v>18</v>
      </c>
      <c r="K312" s="16" t="s">
        <v>19</v>
      </c>
      <c r="L312" s="16" t="s">
        <v>19</v>
      </c>
      <c r="O312"/>
      <c r="P312"/>
    </row>
    <row r="313" spans="1:16" x14ac:dyDescent="0.25">
      <c r="A313" s="16" t="s">
        <v>392</v>
      </c>
      <c r="B313" s="13">
        <v>45979</v>
      </c>
      <c r="C313" s="16">
        <v>45984</v>
      </c>
      <c r="D313" s="16" t="s">
        <v>28</v>
      </c>
      <c r="E313" s="16" t="s">
        <v>58</v>
      </c>
      <c r="F313" s="16" t="s">
        <v>15</v>
      </c>
      <c r="G313" s="16" t="s">
        <v>31</v>
      </c>
      <c r="H313" s="16" t="s">
        <v>56</v>
      </c>
      <c r="I313" s="16" t="s">
        <v>25</v>
      </c>
      <c r="J313" s="16" t="s">
        <v>60</v>
      </c>
      <c r="K313" s="16" t="s">
        <v>20</v>
      </c>
      <c r="L313" s="16" t="s">
        <v>20</v>
      </c>
      <c r="O313"/>
      <c r="P313"/>
    </row>
    <row r="314" spans="1:16" x14ac:dyDescent="0.25">
      <c r="A314" s="16" t="s">
        <v>393</v>
      </c>
      <c r="B314" s="13">
        <v>45697</v>
      </c>
      <c r="C314" s="16">
        <v>45699</v>
      </c>
      <c r="D314" s="16" t="s">
        <v>49</v>
      </c>
      <c r="E314" s="16" t="s">
        <v>76</v>
      </c>
      <c r="F314" s="16" t="s">
        <v>41</v>
      </c>
      <c r="G314" s="16" t="s">
        <v>55</v>
      </c>
      <c r="H314" s="16" t="s">
        <v>136</v>
      </c>
      <c r="I314" s="16" t="s">
        <v>17</v>
      </c>
      <c r="J314" s="16" t="s">
        <v>26</v>
      </c>
      <c r="K314" s="16" t="s">
        <v>39</v>
      </c>
      <c r="L314" s="16" t="s">
        <v>39</v>
      </c>
      <c r="O314"/>
      <c r="P314"/>
    </row>
    <row r="315" spans="1:16" x14ac:dyDescent="0.25">
      <c r="A315" s="16" t="s">
        <v>394</v>
      </c>
      <c r="B315" s="13">
        <v>45906</v>
      </c>
      <c r="C315" s="13">
        <v>45907</v>
      </c>
      <c r="D315" s="16" t="s">
        <v>28</v>
      </c>
      <c r="E315" s="16" t="s">
        <v>14</v>
      </c>
      <c r="F315" s="16" t="s">
        <v>395</v>
      </c>
      <c r="G315" s="16" t="s">
        <v>31</v>
      </c>
      <c r="H315" s="16" t="s">
        <v>79</v>
      </c>
      <c r="I315" s="16" t="s">
        <v>52</v>
      </c>
      <c r="J315" s="16" t="s">
        <v>60</v>
      </c>
      <c r="K315" s="16" t="s">
        <v>39</v>
      </c>
      <c r="L315" s="16" t="s">
        <v>19</v>
      </c>
      <c r="O315"/>
      <c r="P315"/>
    </row>
    <row r="316" spans="1:16" x14ac:dyDescent="0.25">
      <c r="A316" s="16" t="s">
        <v>396</v>
      </c>
      <c r="B316" s="13">
        <v>45833</v>
      </c>
      <c r="C316" s="13"/>
      <c r="D316" s="16" t="s">
        <v>13</v>
      </c>
      <c r="E316" s="16" t="s">
        <v>29</v>
      </c>
      <c r="F316" s="16" t="s">
        <v>54</v>
      </c>
      <c r="G316" s="16" t="s">
        <v>23</v>
      </c>
      <c r="H316" s="16" t="s">
        <v>46</v>
      </c>
      <c r="I316" s="16" t="s">
        <v>47</v>
      </c>
      <c r="J316" s="16" t="s">
        <v>26</v>
      </c>
      <c r="K316" s="16" t="s">
        <v>19</v>
      </c>
      <c r="L316" s="16" t="s">
        <v>20</v>
      </c>
      <c r="O316"/>
      <c r="P316"/>
    </row>
    <row r="317" spans="1:16" x14ac:dyDescent="0.25">
      <c r="A317" s="16" t="s">
        <v>397</v>
      </c>
      <c r="B317" s="12">
        <v>45713</v>
      </c>
      <c r="D317" s="16" t="s">
        <v>28</v>
      </c>
      <c r="E317" s="16" t="s">
        <v>76</v>
      </c>
      <c r="F317" s="16" t="s">
        <v>41</v>
      </c>
      <c r="G317" s="16" t="s">
        <v>16</v>
      </c>
      <c r="H317" s="16" t="s">
        <v>77</v>
      </c>
      <c r="I317" s="16" t="s">
        <v>47</v>
      </c>
      <c r="J317" s="16" t="s">
        <v>18</v>
      </c>
      <c r="K317" s="16" t="s">
        <v>19</v>
      </c>
      <c r="L317" s="16" t="s">
        <v>20</v>
      </c>
      <c r="O317"/>
      <c r="P317"/>
    </row>
    <row r="318" spans="1:16" x14ac:dyDescent="0.25">
      <c r="A318" s="16" t="s">
        <v>398</v>
      </c>
      <c r="B318" s="13">
        <v>45800</v>
      </c>
      <c r="C318" s="13">
        <v>45801</v>
      </c>
      <c r="D318" s="16" t="s">
        <v>13</v>
      </c>
      <c r="E318" s="16" t="s">
        <v>29</v>
      </c>
      <c r="F318" s="16" t="s">
        <v>54</v>
      </c>
      <c r="G318" s="16" t="s">
        <v>31</v>
      </c>
      <c r="H318" s="16" t="s">
        <v>32</v>
      </c>
      <c r="I318" s="16" t="s">
        <v>25</v>
      </c>
      <c r="J318" s="16" t="s">
        <v>34</v>
      </c>
      <c r="K318" s="16" t="s">
        <v>20</v>
      </c>
      <c r="L318" s="16" t="s">
        <v>19</v>
      </c>
      <c r="O318"/>
      <c r="P318"/>
    </row>
    <row r="319" spans="1:16" x14ac:dyDescent="0.25">
      <c r="A319" s="16" t="s">
        <v>399</v>
      </c>
      <c r="B319" s="12">
        <v>45901</v>
      </c>
      <c r="C319" s="13">
        <v>45904</v>
      </c>
      <c r="D319" s="16" t="s">
        <v>28</v>
      </c>
      <c r="E319" s="16" t="s">
        <v>29</v>
      </c>
      <c r="F319" s="16" t="s">
        <v>50</v>
      </c>
      <c r="G319" s="16" t="s">
        <v>31</v>
      </c>
      <c r="H319" s="16" t="s">
        <v>110</v>
      </c>
      <c r="I319" s="16" t="s">
        <v>47</v>
      </c>
      <c r="J319" s="16" t="s">
        <v>60</v>
      </c>
      <c r="K319" s="16" t="s">
        <v>20</v>
      </c>
      <c r="L319" s="16" t="s">
        <v>19</v>
      </c>
      <c r="O319"/>
      <c r="P319"/>
    </row>
    <row r="320" spans="1:16" x14ac:dyDescent="0.25">
      <c r="A320" s="16" t="s">
        <v>400</v>
      </c>
      <c r="B320" s="13">
        <v>45678</v>
      </c>
      <c r="C320" s="13"/>
      <c r="D320" s="16" t="s">
        <v>28</v>
      </c>
      <c r="E320" s="16" t="s">
        <v>29</v>
      </c>
      <c r="F320" s="16" t="s">
        <v>41</v>
      </c>
      <c r="G320" s="16" t="s">
        <v>23</v>
      </c>
      <c r="H320" s="16" t="s">
        <v>51</v>
      </c>
      <c r="I320" s="16" t="s">
        <v>38</v>
      </c>
      <c r="J320" s="16" t="s">
        <v>60</v>
      </c>
      <c r="K320" s="16" t="s">
        <v>20</v>
      </c>
      <c r="L320" s="16" t="s">
        <v>20</v>
      </c>
      <c r="O320"/>
      <c r="P320"/>
    </row>
    <row r="321" spans="1:16" x14ac:dyDescent="0.25">
      <c r="A321" s="16" t="s">
        <v>401</v>
      </c>
      <c r="B321" s="13">
        <v>46003</v>
      </c>
      <c r="C321" s="13">
        <v>46004</v>
      </c>
      <c r="D321" s="16" t="s">
        <v>13</v>
      </c>
      <c r="E321" s="16" t="s">
        <v>29</v>
      </c>
      <c r="F321" s="16" t="s">
        <v>66</v>
      </c>
      <c r="G321" s="16" t="s">
        <v>55</v>
      </c>
      <c r="H321" s="16" t="s">
        <v>151</v>
      </c>
      <c r="I321" s="16" t="s">
        <v>38</v>
      </c>
      <c r="J321" s="16" t="s">
        <v>34</v>
      </c>
      <c r="K321" s="16" t="s">
        <v>19</v>
      </c>
      <c r="L321" s="16" t="s">
        <v>39</v>
      </c>
      <c r="O321"/>
      <c r="P321"/>
    </row>
    <row r="322" spans="1:16" x14ac:dyDescent="0.25">
      <c r="A322" s="16" t="s">
        <v>402</v>
      </c>
      <c r="B322" s="13">
        <v>45955</v>
      </c>
      <c r="C322" s="13">
        <v>45955</v>
      </c>
      <c r="D322" s="16" t="s">
        <v>45</v>
      </c>
      <c r="E322" s="16" t="s">
        <v>29</v>
      </c>
      <c r="F322" s="16" t="s">
        <v>36</v>
      </c>
      <c r="G322" s="16" t="s">
        <v>16</v>
      </c>
      <c r="H322" s="16"/>
      <c r="I322" s="16" t="s">
        <v>38</v>
      </c>
      <c r="J322" s="16" t="s">
        <v>60</v>
      </c>
      <c r="K322" s="16" t="s">
        <v>20</v>
      </c>
      <c r="L322" s="16" t="s">
        <v>20</v>
      </c>
      <c r="O322"/>
      <c r="P322"/>
    </row>
    <row r="323" spans="1:16" x14ac:dyDescent="0.25">
      <c r="A323" s="16" t="s">
        <v>403</v>
      </c>
      <c r="B323" s="13">
        <v>45749</v>
      </c>
      <c r="C323" s="13">
        <v>45755</v>
      </c>
      <c r="D323" s="16" t="s">
        <v>13</v>
      </c>
      <c r="E323" s="16" t="s">
        <v>29</v>
      </c>
      <c r="F323" s="16" t="s">
        <v>15</v>
      </c>
      <c r="G323" s="16" t="s">
        <v>55</v>
      </c>
      <c r="H323" s="16" t="s">
        <v>77</v>
      </c>
      <c r="I323" s="16" t="s">
        <v>69</v>
      </c>
      <c r="J323" s="16" t="s">
        <v>60</v>
      </c>
      <c r="K323" s="16" t="s">
        <v>19</v>
      </c>
      <c r="L323" s="16" t="s">
        <v>20</v>
      </c>
      <c r="O323"/>
      <c r="P323"/>
    </row>
    <row r="324" spans="1:16" x14ac:dyDescent="0.25">
      <c r="A324" s="16" t="s">
        <v>404</v>
      </c>
      <c r="B324" s="13">
        <v>45850</v>
      </c>
      <c r="C324" s="13">
        <v>45855</v>
      </c>
      <c r="D324" s="16" t="s">
        <v>28</v>
      </c>
      <c r="E324" s="16" t="s">
        <v>29</v>
      </c>
      <c r="F324" s="16" t="s">
        <v>30</v>
      </c>
      <c r="G324" s="16" t="s">
        <v>16</v>
      </c>
      <c r="H324" s="16" t="s">
        <v>77</v>
      </c>
      <c r="I324" s="16" t="s">
        <v>47</v>
      </c>
      <c r="J324" s="16" t="s">
        <v>34</v>
      </c>
      <c r="K324" s="16" t="s">
        <v>20</v>
      </c>
      <c r="L324" s="16" t="s">
        <v>20</v>
      </c>
      <c r="O324"/>
      <c r="P324"/>
    </row>
    <row r="325" spans="1:16" x14ac:dyDescent="0.25">
      <c r="A325" s="16" t="s">
        <v>405</v>
      </c>
      <c r="B325" s="13">
        <v>45911</v>
      </c>
      <c r="C325" s="13">
        <v>45913</v>
      </c>
      <c r="D325" s="16" t="s">
        <v>45</v>
      </c>
      <c r="E325" s="16" t="s">
        <v>29</v>
      </c>
      <c r="F325" s="16" t="s">
        <v>22</v>
      </c>
      <c r="G325" s="16" t="s">
        <v>23</v>
      </c>
      <c r="H325" s="16" t="s">
        <v>106</v>
      </c>
      <c r="I325" s="16" t="s">
        <v>38</v>
      </c>
      <c r="J325" s="16" t="s">
        <v>26</v>
      </c>
      <c r="K325" s="16" t="s">
        <v>39</v>
      </c>
      <c r="L325" s="16" t="s">
        <v>20</v>
      </c>
      <c r="O325"/>
      <c r="P325"/>
    </row>
    <row r="326" spans="1:16" x14ac:dyDescent="0.25">
      <c r="A326" s="16" t="s">
        <v>406</v>
      </c>
      <c r="B326" s="13">
        <v>45868</v>
      </c>
      <c r="C326" s="13">
        <v>45874</v>
      </c>
      <c r="D326" s="16" t="s">
        <v>28</v>
      </c>
      <c r="E326" s="16" t="s">
        <v>29</v>
      </c>
      <c r="F326" s="16" t="s">
        <v>41</v>
      </c>
      <c r="G326" s="16" t="s">
        <v>16</v>
      </c>
      <c r="H326" s="16" t="s">
        <v>77</v>
      </c>
      <c r="I326" s="16" t="s">
        <v>33</v>
      </c>
      <c r="J326" s="16" t="s">
        <v>34</v>
      </c>
      <c r="K326" s="16" t="s">
        <v>20</v>
      </c>
      <c r="L326" s="16" t="s">
        <v>20</v>
      </c>
      <c r="O326"/>
      <c r="P326"/>
    </row>
    <row r="327" spans="1:16" x14ac:dyDescent="0.25">
      <c r="A327" s="16" t="s">
        <v>407</v>
      </c>
      <c r="B327" s="12">
        <v>45820</v>
      </c>
      <c r="C327" s="13">
        <v>45821</v>
      </c>
      <c r="D327" s="16" t="s">
        <v>49</v>
      </c>
      <c r="E327" s="16" t="s">
        <v>14</v>
      </c>
      <c r="F327" s="16" t="s">
        <v>30</v>
      </c>
      <c r="G327" s="16" t="s">
        <v>16</v>
      </c>
      <c r="H327" s="16" t="s">
        <v>59</v>
      </c>
      <c r="I327" s="16" t="s">
        <v>25</v>
      </c>
      <c r="J327" s="16" t="s">
        <v>34</v>
      </c>
      <c r="K327" s="16" t="s">
        <v>20</v>
      </c>
      <c r="L327" s="16" t="s">
        <v>20</v>
      </c>
      <c r="O327"/>
      <c r="P327"/>
    </row>
    <row r="328" spans="1:16" x14ac:dyDescent="0.25">
      <c r="A328" s="16" t="s">
        <v>408</v>
      </c>
      <c r="B328" s="13">
        <v>45951</v>
      </c>
      <c r="C328" s="13">
        <v>45952</v>
      </c>
      <c r="D328" s="16" t="s">
        <v>28</v>
      </c>
      <c r="E328" s="16" t="s">
        <v>88</v>
      </c>
      <c r="F328" s="16" t="s">
        <v>50</v>
      </c>
      <c r="G328" s="16" t="s">
        <v>42</v>
      </c>
      <c r="H328" s="16" t="s">
        <v>73</v>
      </c>
      <c r="I328" s="16" t="s">
        <v>69</v>
      </c>
      <c r="J328" s="16" t="s">
        <v>26</v>
      </c>
      <c r="K328" s="16" t="s">
        <v>39</v>
      </c>
      <c r="L328" s="16" t="s">
        <v>20</v>
      </c>
      <c r="O328"/>
      <c r="P328"/>
    </row>
    <row r="329" spans="1:16" x14ac:dyDescent="0.25">
      <c r="A329" s="16" t="s">
        <v>409</v>
      </c>
      <c r="B329" s="13">
        <v>45977</v>
      </c>
      <c r="C329" s="13">
        <v>45978</v>
      </c>
      <c r="D329" s="16" t="s">
        <v>28</v>
      </c>
      <c r="E329" s="16" t="s">
        <v>14</v>
      </c>
      <c r="F329" s="16" t="s">
        <v>15</v>
      </c>
      <c r="G329" s="16" t="s">
        <v>23</v>
      </c>
      <c r="H329" s="16" t="s">
        <v>56</v>
      </c>
      <c r="I329" s="16" t="s">
        <v>47</v>
      </c>
      <c r="J329" s="16" t="s">
        <v>26</v>
      </c>
      <c r="K329" s="16" t="s">
        <v>20</v>
      </c>
      <c r="L329" s="16" t="s">
        <v>19</v>
      </c>
      <c r="O329"/>
      <c r="P329"/>
    </row>
    <row r="330" spans="1:16" x14ac:dyDescent="0.25">
      <c r="A330" s="16" t="s">
        <v>410</v>
      </c>
      <c r="B330" s="13">
        <v>45735</v>
      </c>
      <c r="C330" s="13">
        <v>45737</v>
      </c>
      <c r="D330" s="16" t="s">
        <v>49</v>
      </c>
      <c r="E330" s="16" t="s">
        <v>14</v>
      </c>
      <c r="F330" s="16" t="s">
        <v>50</v>
      </c>
      <c r="G330" s="16" t="s">
        <v>55</v>
      </c>
      <c r="H330" s="16" t="s">
        <v>77</v>
      </c>
      <c r="I330" s="16" t="s">
        <v>69</v>
      </c>
      <c r="J330" s="16" t="s">
        <v>34</v>
      </c>
      <c r="K330" s="16" t="s">
        <v>20</v>
      </c>
      <c r="L330" s="16" t="s">
        <v>20</v>
      </c>
      <c r="O330"/>
      <c r="P330"/>
    </row>
    <row r="331" spans="1:16" x14ac:dyDescent="0.25">
      <c r="A331" s="16" t="s">
        <v>411</v>
      </c>
      <c r="B331" s="13">
        <v>45881</v>
      </c>
      <c r="C331" s="16">
        <v>45882</v>
      </c>
      <c r="D331" s="16" t="s">
        <v>28</v>
      </c>
      <c r="E331" s="16" t="s">
        <v>76</v>
      </c>
      <c r="F331" s="16" t="s">
        <v>36</v>
      </c>
      <c r="G331" s="16" t="s">
        <v>23</v>
      </c>
      <c r="H331" s="16" t="s">
        <v>92</v>
      </c>
      <c r="I331" s="16" t="s">
        <v>33</v>
      </c>
      <c r="J331" s="16" t="s">
        <v>34</v>
      </c>
      <c r="K331" s="16" t="s">
        <v>20</v>
      </c>
      <c r="L331" s="16" t="s">
        <v>20</v>
      </c>
      <c r="O331"/>
      <c r="P331"/>
    </row>
    <row r="332" spans="1:16" x14ac:dyDescent="0.25">
      <c r="A332" s="16" t="s">
        <v>280</v>
      </c>
      <c r="B332" s="13">
        <v>46001</v>
      </c>
      <c r="C332" s="13">
        <v>46006</v>
      </c>
      <c r="D332" s="16" t="s">
        <v>13</v>
      </c>
      <c r="E332" s="16" t="s">
        <v>29</v>
      </c>
      <c r="F332" s="16" t="s">
        <v>22</v>
      </c>
      <c r="G332" s="16" t="s">
        <v>55</v>
      </c>
      <c r="H332" s="16" t="s">
        <v>151</v>
      </c>
      <c r="I332" s="16" t="s">
        <v>47</v>
      </c>
      <c r="J332" s="16" t="s">
        <v>26</v>
      </c>
      <c r="K332" s="16" t="s">
        <v>19</v>
      </c>
      <c r="L332" s="16" t="s">
        <v>20</v>
      </c>
      <c r="O332"/>
      <c r="P332"/>
    </row>
    <row r="333" spans="1:16" x14ac:dyDescent="0.25">
      <c r="A333" s="16" t="s">
        <v>412</v>
      </c>
      <c r="B333" s="12">
        <v>45778</v>
      </c>
      <c r="C333" s="13">
        <v>45781</v>
      </c>
      <c r="D333" s="16" t="s">
        <v>49</v>
      </c>
      <c r="E333" s="16" t="s">
        <v>14</v>
      </c>
      <c r="F333" s="16" t="s">
        <v>228</v>
      </c>
      <c r="G333" s="16" t="s">
        <v>42</v>
      </c>
      <c r="H333" s="16" t="s">
        <v>110</v>
      </c>
      <c r="I333" s="16" t="s">
        <v>52</v>
      </c>
      <c r="J333" s="16" t="s">
        <v>26</v>
      </c>
      <c r="K333" s="16" t="s">
        <v>20</v>
      </c>
      <c r="L333" s="16" t="s">
        <v>19</v>
      </c>
      <c r="O333"/>
      <c r="P333"/>
    </row>
    <row r="334" spans="1:16" x14ac:dyDescent="0.25">
      <c r="A334" s="16" t="s">
        <v>413</v>
      </c>
      <c r="B334" s="13">
        <v>45815</v>
      </c>
      <c r="D334" s="16" t="s">
        <v>45</v>
      </c>
      <c r="E334" s="16" t="s">
        <v>58</v>
      </c>
      <c r="F334" s="16" t="s">
        <v>66</v>
      </c>
      <c r="G334" s="16" t="s">
        <v>42</v>
      </c>
      <c r="H334" s="16" t="s">
        <v>110</v>
      </c>
      <c r="I334" s="16" t="s">
        <v>47</v>
      </c>
      <c r="J334" s="16" t="s">
        <v>26</v>
      </c>
      <c r="K334" s="16" t="s">
        <v>39</v>
      </c>
      <c r="L334" s="16" t="s">
        <v>39</v>
      </c>
      <c r="O334"/>
      <c r="P334"/>
    </row>
    <row r="335" spans="1:16" x14ac:dyDescent="0.25">
      <c r="A335" s="16" t="s">
        <v>414</v>
      </c>
      <c r="B335" s="13">
        <v>45709</v>
      </c>
      <c r="C335" s="13">
        <v>45711</v>
      </c>
      <c r="D335" s="16" t="s">
        <v>45</v>
      </c>
      <c r="E335" s="16" t="s">
        <v>29</v>
      </c>
      <c r="F335" s="16" t="s">
        <v>30</v>
      </c>
      <c r="G335" s="16" t="s">
        <v>31</v>
      </c>
      <c r="H335" s="16" t="s">
        <v>136</v>
      </c>
      <c r="I335" s="16" t="s">
        <v>17</v>
      </c>
      <c r="J335" s="16" t="s">
        <v>60</v>
      </c>
      <c r="K335" s="16" t="s">
        <v>20</v>
      </c>
      <c r="L335" s="16" t="s">
        <v>39</v>
      </c>
      <c r="O335"/>
      <c r="P335"/>
    </row>
    <row r="336" spans="1:16" x14ac:dyDescent="0.25">
      <c r="A336" s="16" t="s">
        <v>415</v>
      </c>
      <c r="B336" s="13">
        <v>45738</v>
      </c>
      <c r="D336" s="16" t="s">
        <v>13</v>
      </c>
      <c r="E336" s="16" t="s">
        <v>76</v>
      </c>
      <c r="F336" s="16" t="s">
        <v>41</v>
      </c>
      <c r="G336" s="16" t="s">
        <v>23</v>
      </c>
      <c r="H336" s="16" t="s">
        <v>151</v>
      </c>
      <c r="I336" s="16" t="s">
        <v>47</v>
      </c>
      <c r="J336" s="16" t="s">
        <v>34</v>
      </c>
      <c r="K336" s="16" t="s">
        <v>19</v>
      </c>
      <c r="L336" s="16" t="s">
        <v>39</v>
      </c>
      <c r="O336"/>
      <c r="P336"/>
    </row>
    <row r="337" spans="1:16" x14ac:dyDescent="0.25">
      <c r="A337" s="16" t="s">
        <v>416</v>
      </c>
      <c r="B337" s="12">
        <v>45751</v>
      </c>
      <c r="C337" s="13">
        <v>45754</v>
      </c>
      <c r="D337" s="16" t="s">
        <v>45</v>
      </c>
      <c r="E337" s="16" t="s">
        <v>14</v>
      </c>
      <c r="F337" s="16" t="s">
        <v>50</v>
      </c>
      <c r="G337" s="16" t="s">
        <v>42</v>
      </c>
      <c r="H337" s="16" t="s">
        <v>151</v>
      </c>
      <c r="I337" s="16" t="s">
        <v>52</v>
      </c>
      <c r="J337" s="16" t="s">
        <v>18</v>
      </c>
      <c r="K337" s="16" t="s">
        <v>19</v>
      </c>
      <c r="L337" s="16" t="s">
        <v>39</v>
      </c>
      <c r="O337"/>
      <c r="P337"/>
    </row>
    <row r="338" spans="1:16" x14ac:dyDescent="0.25">
      <c r="A338" s="16" t="s">
        <v>417</v>
      </c>
      <c r="B338" s="12">
        <v>45718</v>
      </c>
      <c r="C338" s="13"/>
      <c r="D338" s="16" t="s">
        <v>13</v>
      </c>
      <c r="E338" s="16" t="s">
        <v>29</v>
      </c>
      <c r="F338" s="16" t="s">
        <v>41</v>
      </c>
      <c r="G338" s="16" t="s">
        <v>16</v>
      </c>
      <c r="H338" s="16" t="s">
        <v>73</v>
      </c>
      <c r="I338" s="16" t="s">
        <v>69</v>
      </c>
      <c r="J338" s="16" t="s">
        <v>18</v>
      </c>
      <c r="K338" s="16" t="s">
        <v>19</v>
      </c>
      <c r="L338" s="16" t="s">
        <v>20</v>
      </c>
      <c r="O338"/>
      <c r="P338"/>
    </row>
    <row r="339" spans="1:16" x14ac:dyDescent="0.25">
      <c r="A339" s="16" t="s">
        <v>418</v>
      </c>
      <c r="B339" s="12">
        <v>45802</v>
      </c>
      <c r="C339" s="16">
        <v>45806</v>
      </c>
      <c r="D339" s="16" t="s">
        <v>28</v>
      </c>
      <c r="E339" s="16" t="s">
        <v>76</v>
      </c>
      <c r="F339" s="16" t="s">
        <v>41</v>
      </c>
      <c r="G339" s="16" t="s">
        <v>16</v>
      </c>
      <c r="H339" s="16" t="s">
        <v>62</v>
      </c>
      <c r="I339" s="16" t="s">
        <v>17</v>
      </c>
      <c r="J339" s="16" t="s">
        <v>18</v>
      </c>
      <c r="K339" s="16" t="s">
        <v>20</v>
      </c>
      <c r="L339" s="16" t="s">
        <v>19</v>
      </c>
      <c r="O339"/>
      <c r="P339"/>
    </row>
    <row r="340" spans="1:16" x14ac:dyDescent="0.25">
      <c r="A340" s="16" t="s">
        <v>419</v>
      </c>
      <c r="B340" s="12">
        <v>46020</v>
      </c>
      <c r="C340" s="13">
        <v>46022</v>
      </c>
      <c r="D340" s="16" t="s">
        <v>49</v>
      </c>
      <c r="E340" s="16" t="s">
        <v>29</v>
      </c>
      <c r="F340" s="16" t="s">
        <v>66</v>
      </c>
      <c r="G340" s="16" t="s">
        <v>42</v>
      </c>
      <c r="H340" s="16" t="s">
        <v>110</v>
      </c>
      <c r="I340" s="16" t="s">
        <v>25</v>
      </c>
      <c r="J340" s="16" t="s">
        <v>18</v>
      </c>
      <c r="K340" s="16" t="s">
        <v>20</v>
      </c>
      <c r="L340" s="16" t="s">
        <v>39</v>
      </c>
      <c r="O340"/>
      <c r="P340"/>
    </row>
    <row r="341" spans="1:16" x14ac:dyDescent="0.25">
      <c r="A341" s="16" t="s">
        <v>420</v>
      </c>
      <c r="B341" s="13">
        <v>45944</v>
      </c>
      <c r="D341" s="16" t="s">
        <v>45</v>
      </c>
      <c r="E341" s="16" t="s">
        <v>76</v>
      </c>
      <c r="F341" s="16" t="s">
        <v>41</v>
      </c>
      <c r="G341" s="16" t="s">
        <v>31</v>
      </c>
      <c r="H341" s="16" t="s">
        <v>56</v>
      </c>
      <c r="I341" s="16" t="s">
        <v>17</v>
      </c>
      <c r="J341" s="16" t="s">
        <v>34</v>
      </c>
      <c r="K341" s="16" t="s">
        <v>19</v>
      </c>
      <c r="L341" s="16" t="s">
        <v>19</v>
      </c>
      <c r="O341"/>
      <c r="P341"/>
    </row>
    <row r="342" spans="1:16" x14ac:dyDescent="0.25">
      <c r="A342" s="16" t="s">
        <v>421</v>
      </c>
      <c r="B342" s="13">
        <v>45878</v>
      </c>
      <c r="C342" s="13">
        <v>45881</v>
      </c>
      <c r="D342" s="16" t="s">
        <v>28</v>
      </c>
      <c r="E342" s="16" t="s">
        <v>14</v>
      </c>
      <c r="F342" s="16" t="s">
        <v>54</v>
      </c>
      <c r="G342" s="16" t="s">
        <v>23</v>
      </c>
      <c r="H342" s="16"/>
      <c r="I342" s="16" t="s">
        <v>38</v>
      </c>
      <c r="J342" s="16" t="s">
        <v>26</v>
      </c>
      <c r="K342" s="16" t="s">
        <v>19</v>
      </c>
      <c r="L342" s="16" t="s">
        <v>39</v>
      </c>
      <c r="O342"/>
      <c r="P342"/>
    </row>
    <row r="343" spans="1:16" x14ac:dyDescent="0.25">
      <c r="A343" s="16" t="s">
        <v>422</v>
      </c>
      <c r="B343" s="13">
        <v>45881</v>
      </c>
      <c r="D343" s="16" t="s">
        <v>45</v>
      </c>
      <c r="E343" s="16" t="s">
        <v>76</v>
      </c>
      <c r="F343" s="16" t="s">
        <v>41</v>
      </c>
      <c r="G343" s="16"/>
      <c r="H343" s="16" t="s">
        <v>136</v>
      </c>
      <c r="I343" s="16" t="s">
        <v>52</v>
      </c>
      <c r="J343" s="16" t="s">
        <v>34</v>
      </c>
      <c r="K343" s="16" t="s">
        <v>39</v>
      </c>
      <c r="L343" s="16" t="s">
        <v>39</v>
      </c>
      <c r="O343"/>
      <c r="P343"/>
    </row>
    <row r="344" spans="1:16" x14ac:dyDescent="0.25">
      <c r="A344" s="16" t="s">
        <v>423</v>
      </c>
      <c r="B344" s="13">
        <v>45946</v>
      </c>
      <c r="C344" s="13">
        <v>45946</v>
      </c>
      <c r="D344" s="16" t="s">
        <v>49</v>
      </c>
      <c r="E344" s="16" t="s">
        <v>29</v>
      </c>
      <c r="F344" s="16" t="s">
        <v>50</v>
      </c>
      <c r="G344" s="16" t="s">
        <v>31</v>
      </c>
      <c r="H344" s="16" t="s">
        <v>43</v>
      </c>
      <c r="I344" s="16" t="s">
        <v>25</v>
      </c>
      <c r="J344" s="16" t="s">
        <v>26</v>
      </c>
      <c r="K344" s="16" t="s">
        <v>20</v>
      </c>
      <c r="L344" s="16" t="s">
        <v>20</v>
      </c>
      <c r="O344"/>
      <c r="P344"/>
    </row>
    <row r="345" spans="1:16" x14ac:dyDescent="0.25">
      <c r="A345" s="16" t="s">
        <v>424</v>
      </c>
      <c r="B345" s="12">
        <v>45736</v>
      </c>
      <c r="C345" s="13"/>
      <c r="D345" s="16" t="s">
        <v>13</v>
      </c>
      <c r="E345" s="16" t="s">
        <v>14</v>
      </c>
      <c r="F345" s="16" t="s">
        <v>41</v>
      </c>
      <c r="G345" s="16" t="s">
        <v>42</v>
      </c>
      <c r="H345" s="16" t="s">
        <v>136</v>
      </c>
      <c r="I345" s="16" t="s">
        <v>25</v>
      </c>
      <c r="J345" s="16" t="s">
        <v>60</v>
      </c>
      <c r="K345" s="16" t="s">
        <v>19</v>
      </c>
      <c r="L345" s="16" t="s">
        <v>20</v>
      </c>
      <c r="O345"/>
      <c r="P345"/>
    </row>
    <row r="346" spans="1:16" x14ac:dyDescent="0.25">
      <c r="A346" s="16" t="s">
        <v>425</v>
      </c>
      <c r="B346" s="13">
        <v>45802</v>
      </c>
      <c r="C346" s="16">
        <v>45803</v>
      </c>
      <c r="D346" s="16" t="s">
        <v>49</v>
      </c>
      <c r="E346" s="16" t="s">
        <v>58</v>
      </c>
      <c r="F346" s="16" t="s">
        <v>41</v>
      </c>
      <c r="G346" s="16" t="s">
        <v>55</v>
      </c>
      <c r="H346" s="16" t="s">
        <v>151</v>
      </c>
      <c r="I346" s="16" t="s">
        <v>52</v>
      </c>
      <c r="J346" s="16" t="s">
        <v>26</v>
      </c>
      <c r="K346" s="16" t="s">
        <v>39</v>
      </c>
      <c r="L346" s="16" t="s">
        <v>19</v>
      </c>
      <c r="O346"/>
      <c r="P346"/>
    </row>
    <row r="347" spans="1:16" x14ac:dyDescent="0.25">
      <c r="A347" s="16" t="s">
        <v>426</v>
      </c>
      <c r="B347" s="12">
        <v>45816</v>
      </c>
      <c r="C347" s="16">
        <v>45819</v>
      </c>
      <c r="D347" s="16" t="s">
        <v>28</v>
      </c>
      <c r="E347" s="16" t="s">
        <v>76</v>
      </c>
      <c r="F347" s="16" t="s">
        <v>15</v>
      </c>
      <c r="G347" s="16" t="s">
        <v>23</v>
      </c>
      <c r="H347" s="16" t="s">
        <v>134</v>
      </c>
      <c r="I347" s="16" t="s">
        <v>25</v>
      </c>
      <c r="J347" s="16" t="s">
        <v>18</v>
      </c>
      <c r="K347" s="16" t="s">
        <v>39</v>
      </c>
      <c r="L347" s="16" t="s">
        <v>39</v>
      </c>
      <c r="O347"/>
      <c r="P347"/>
    </row>
    <row r="348" spans="1:16" x14ac:dyDescent="0.25">
      <c r="A348" s="16" t="s">
        <v>427</v>
      </c>
      <c r="B348" s="13">
        <v>46004</v>
      </c>
      <c r="D348" s="16" t="s">
        <v>45</v>
      </c>
      <c r="E348" s="16" t="s">
        <v>76</v>
      </c>
      <c r="F348" s="16" t="s">
        <v>41</v>
      </c>
      <c r="G348" s="16" t="s">
        <v>31</v>
      </c>
      <c r="H348" s="16" t="s">
        <v>56</v>
      </c>
      <c r="I348" s="16" t="s">
        <v>47</v>
      </c>
      <c r="J348" s="16" t="s">
        <v>60</v>
      </c>
      <c r="K348" s="16" t="s">
        <v>20</v>
      </c>
      <c r="L348" s="16" t="s">
        <v>19</v>
      </c>
      <c r="O348"/>
      <c r="P348"/>
    </row>
    <row r="349" spans="1:16" x14ac:dyDescent="0.25">
      <c r="A349" s="16" t="s">
        <v>281</v>
      </c>
      <c r="B349" s="13">
        <v>45949</v>
      </c>
      <c r="D349" s="16" t="s">
        <v>13</v>
      </c>
      <c r="E349" s="16" t="s">
        <v>76</v>
      </c>
      <c r="F349" s="16" t="s">
        <v>54</v>
      </c>
      <c r="G349" s="16" t="s">
        <v>16</v>
      </c>
      <c r="H349" s="16" t="s">
        <v>136</v>
      </c>
      <c r="I349" s="16" t="s">
        <v>47</v>
      </c>
      <c r="J349" s="16" t="s">
        <v>26</v>
      </c>
      <c r="K349" s="16" t="s">
        <v>39</v>
      </c>
      <c r="L349" s="16" t="s">
        <v>39</v>
      </c>
      <c r="O349"/>
      <c r="P349"/>
    </row>
    <row r="350" spans="1:16" x14ac:dyDescent="0.25">
      <c r="A350" s="16" t="s">
        <v>428</v>
      </c>
      <c r="B350" s="13">
        <v>45681</v>
      </c>
      <c r="D350" s="16" t="s">
        <v>49</v>
      </c>
      <c r="E350" s="16" t="s">
        <v>429</v>
      </c>
      <c r="F350" s="16" t="s">
        <v>36</v>
      </c>
      <c r="G350" s="16" t="s">
        <v>16</v>
      </c>
      <c r="H350" s="16" t="s">
        <v>106</v>
      </c>
      <c r="I350" s="16" t="s">
        <v>38</v>
      </c>
      <c r="J350" s="16" t="s">
        <v>18</v>
      </c>
      <c r="K350" s="16" t="s">
        <v>39</v>
      </c>
      <c r="L350" s="16" t="s">
        <v>39</v>
      </c>
      <c r="O350"/>
      <c r="P350"/>
    </row>
    <row r="351" spans="1:16" x14ac:dyDescent="0.25">
      <c r="A351" s="16" t="s">
        <v>430</v>
      </c>
      <c r="B351" s="13">
        <v>45755</v>
      </c>
      <c r="C351" s="13"/>
      <c r="D351" s="16" t="s">
        <v>13</v>
      </c>
      <c r="E351" s="16" t="s">
        <v>14</v>
      </c>
      <c r="F351" s="16" t="s">
        <v>30</v>
      </c>
      <c r="G351" s="16" t="s">
        <v>55</v>
      </c>
      <c r="H351" s="16" t="s">
        <v>77</v>
      </c>
      <c r="I351" s="16" t="s">
        <v>52</v>
      </c>
      <c r="J351" s="16" t="s">
        <v>26</v>
      </c>
      <c r="K351" s="16" t="s">
        <v>39</v>
      </c>
      <c r="L351" s="16" t="s">
        <v>20</v>
      </c>
      <c r="O351"/>
      <c r="P351"/>
    </row>
    <row r="352" spans="1:16" x14ac:dyDescent="0.25">
      <c r="A352" s="16" t="s">
        <v>431</v>
      </c>
      <c r="B352" s="13">
        <v>45736</v>
      </c>
      <c r="C352" s="13">
        <v>45746</v>
      </c>
      <c r="D352" s="16" t="s">
        <v>13</v>
      </c>
      <c r="E352" s="16" t="s">
        <v>88</v>
      </c>
      <c r="F352" s="16" t="s">
        <v>15</v>
      </c>
      <c r="G352" s="16" t="s">
        <v>16</v>
      </c>
      <c r="H352" s="16" t="s">
        <v>92</v>
      </c>
      <c r="I352" s="16" t="s">
        <v>25</v>
      </c>
      <c r="J352" s="16" t="s">
        <v>34</v>
      </c>
      <c r="K352" s="16" t="s">
        <v>20</v>
      </c>
      <c r="L352" s="16" t="s">
        <v>19</v>
      </c>
      <c r="O352"/>
      <c r="P352"/>
    </row>
    <row r="353" spans="1:16" x14ac:dyDescent="0.25">
      <c r="A353" s="16" t="s">
        <v>432</v>
      </c>
      <c r="B353" s="13">
        <v>45920</v>
      </c>
      <c r="C353" s="13">
        <v>45923</v>
      </c>
      <c r="D353" s="16" t="s">
        <v>45</v>
      </c>
      <c r="E353" s="16" t="s">
        <v>29</v>
      </c>
      <c r="F353" s="16" t="s">
        <v>41</v>
      </c>
      <c r="G353" s="16" t="s">
        <v>23</v>
      </c>
      <c r="H353" s="16" t="s">
        <v>79</v>
      </c>
      <c r="I353" s="16" t="s">
        <v>52</v>
      </c>
      <c r="J353" s="16" t="s">
        <v>60</v>
      </c>
      <c r="K353" s="16" t="s">
        <v>19</v>
      </c>
      <c r="L353" s="16" t="s">
        <v>20</v>
      </c>
      <c r="O353"/>
      <c r="P353"/>
    </row>
    <row r="354" spans="1:16" x14ac:dyDescent="0.25">
      <c r="A354" s="16" t="s">
        <v>433</v>
      </c>
      <c r="B354" s="13">
        <v>45834</v>
      </c>
      <c r="C354" s="16">
        <v>45838</v>
      </c>
      <c r="D354" s="16" t="s">
        <v>49</v>
      </c>
      <c r="E354" s="16" t="s">
        <v>58</v>
      </c>
      <c r="F354" s="16" t="s">
        <v>41</v>
      </c>
      <c r="G354" s="16"/>
      <c r="H354" s="16" t="s">
        <v>92</v>
      </c>
      <c r="I354" s="16" t="s">
        <v>47</v>
      </c>
      <c r="J354" s="16" t="s">
        <v>60</v>
      </c>
      <c r="K354" s="16" t="s">
        <v>39</v>
      </c>
      <c r="L354" s="16" t="s">
        <v>20</v>
      </c>
      <c r="O354"/>
      <c r="P354"/>
    </row>
    <row r="355" spans="1:16" x14ac:dyDescent="0.25">
      <c r="A355" s="16" t="s">
        <v>434</v>
      </c>
      <c r="B355" s="13">
        <v>45760</v>
      </c>
      <c r="D355" s="16" t="s">
        <v>28</v>
      </c>
      <c r="E355" s="16" t="s">
        <v>58</v>
      </c>
      <c r="F355" s="16" t="s">
        <v>22</v>
      </c>
      <c r="G355" s="16" t="s">
        <v>31</v>
      </c>
      <c r="H355" s="16" t="s">
        <v>128</v>
      </c>
      <c r="I355" s="16" t="s">
        <v>52</v>
      </c>
      <c r="J355" s="16" t="s">
        <v>60</v>
      </c>
      <c r="K355" s="16" t="s">
        <v>20</v>
      </c>
      <c r="L355" s="16" t="s">
        <v>20</v>
      </c>
      <c r="O355"/>
      <c r="P355"/>
    </row>
    <row r="356" spans="1:16" x14ac:dyDescent="0.25">
      <c r="A356" s="16" t="s">
        <v>435</v>
      </c>
      <c r="B356" s="12">
        <v>45974</v>
      </c>
      <c r="C356" s="13"/>
      <c r="D356" s="16" t="s">
        <v>45</v>
      </c>
      <c r="E356" s="16" t="s">
        <v>14</v>
      </c>
      <c r="F356" s="16" t="s">
        <v>30</v>
      </c>
      <c r="G356" s="16" t="s">
        <v>16</v>
      </c>
      <c r="H356" s="16" t="s">
        <v>46</v>
      </c>
      <c r="I356" s="16" t="s">
        <v>69</v>
      </c>
      <c r="J356" s="16" t="s">
        <v>34</v>
      </c>
      <c r="K356" s="16" t="s">
        <v>39</v>
      </c>
      <c r="L356" s="16" t="s">
        <v>39</v>
      </c>
      <c r="O356"/>
      <c r="P356"/>
    </row>
    <row r="357" spans="1:16" x14ac:dyDescent="0.25">
      <c r="A357" s="16" t="s">
        <v>436</v>
      </c>
      <c r="B357" s="13">
        <v>45714</v>
      </c>
      <c r="C357" s="13">
        <v>45722</v>
      </c>
      <c r="D357" s="16" t="s">
        <v>49</v>
      </c>
      <c r="E357" s="16" t="s">
        <v>14</v>
      </c>
      <c r="F357" s="16" t="s">
        <v>15</v>
      </c>
      <c r="G357" s="16" t="s">
        <v>31</v>
      </c>
      <c r="H357" s="16" t="s">
        <v>128</v>
      </c>
      <c r="I357" s="16" t="s">
        <v>17</v>
      </c>
      <c r="J357" s="16" t="s">
        <v>18</v>
      </c>
      <c r="K357" s="16" t="s">
        <v>20</v>
      </c>
      <c r="L357" s="16" t="s">
        <v>20</v>
      </c>
      <c r="O357"/>
      <c r="P357"/>
    </row>
    <row r="358" spans="1:16" x14ac:dyDescent="0.25">
      <c r="A358" s="16" t="s">
        <v>437</v>
      </c>
      <c r="B358" s="13">
        <v>45870</v>
      </c>
      <c r="C358" s="13">
        <v>45874</v>
      </c>
      <c r="D358" s="16" t="s">
        <v>49</v>
      </c>
      <c r="E358" s="16" t="s">
        <v>14</v>
      </c>
      <c r="F358" s="16" t="s">
        <v>15</v>
      </c>
      <c r="G358" s="16" t="s">
        <v>55</v>
      </c>
      <c r="H358" s="16" t="s">
        <v>73</v>
      </c>
      <c r="I358" s="16" t="s">
        <v>33</v>
      </c>
      <c r="J358" s="16" t="s">
        <v>60</v>
      </c>
      <c r="K358" s="16" t="s">
        <v>19</v>
      </c>
      <c r="L358" s="16" t="s">
        <v>19</v>
      </c>
      <c r="O358"/>
      <c r="P358"/>
    </row>
    <row r="359" spans="1:16" x14ac:dyDescent="0.25">
      <c r="A359" s="16" t="s">
        <v>438</v>
      </c>
      <c r="B359" s="13">
        <v>45922</v>
      </c>
      <c r="C359" s="13">
        <v>45922</v>
      </c>
      <c r="D359" s="16" t="s">
        <v>13</v>
      </c>
      <c r="E359" s="16" t="s">
        <v>14</v>
      </c>
      <c r="F359" s="16" t="s">
        <v>228</v>
      </c>
      <c r="G359" s="16" t="s">
        <v>31</v>
      </c>
      <c r="H359" s="16" t="s">
        <v>24</v>
      </c>
      <c r="I359" s="16" t="s">
        <v>52</v>
      </c>
      <c r="J359" s="16" t="s">
        <v>26</v>
      </c>
      <c r="K359" s="16" t="s">
        <v>19</v>
      </c>
      <c r="L359" s="16" t="s">
        <v>20</v>
      </c>
      <c r="O359"/>
      <c r="P359"/>
    </row>
    <row r="360" spans="1:16" x14ac:dyDescent="0.25">
      <c r="A360" s="16" t="s">
        <v>439</v>
      </c>
      <c r="B360" s="12">
        <v>45924</v>
      </c>
      <c r="C360" s="16">
        <v>45928</v>
      </c>
      <c r="D360" s="16" t="s">
        <v>45</v>
      </c>
      <c r="E360" s="16" t="s">
        <v>76</v>
      </c>
      <c r="F360" s="16" t="s">
        <v>66</v>
      </c>
      <c r="G360" s="16" t="s">
        <v>23</v>
      </c>
      <c r="H360" s="16" t="s">
        <v>79</v>
      </c>
      <c r="I360" s="16" t="s">
        <v>17</v>
      </c>
      <c r="J360" s="16" t="s">
        <v>26</v>
      </c>
      <c r="K360" s="16" t="s">
        <v>19</v>
      </c>
      <c r="L360" s="16" t="s">
        <v>20</v>
      </c>
      <c r="O360"/>
      <c r="P360"/>
    </row>
    <row r="361" spans="1:16" x14ac:dyDescent="0.25">
      <c r="A361" s="16" t="s">
        <v>440</v>
      </c>
      <c r="B361" s="13">
        <v>45812</v>
      </c>
      <c r="C361" s="13"/>
      <c r="D361" s="16" t="s">
        <v>49</v>
      </c>
      <c r="E361" s="16" t="s">
        <v>14</v>
      </c>
      <c r="F361" s="16" t="s">
        <v>395</v>
      </c>
      <c r="G361" s="16" t="s">
        <v>31</v>
      </c>
      <c r="H361" s="16" t="s">
        <v>134</v>
      </c>
      <c r="I361" s="16" t="s">
        <v>69</v>
      </c>
      <c r="J361" s="16" t="s">
        <v>26</v>
      </c>
      <c r="K361" s="16" t="s">
        <v>20</v>
      </c>
      <c r="L361" s="16" t="s">
        <v>19</v>
      </c>
      <c r="O361"/>
      <c r="P361"/>
    </row>
    <row r="362" spans="1:16" x14ac:dyDescent="0.25">
      <c r="A362" s="16" t="s">
        <v>441</v>
      </c>
      <c r="B362" s="13">
        <v>45714</v>
      </c>
      <c r="C362" s="13">
        <v>45719</v>
      </c>
      <c r="D362" s="16" t="s">
        <v>13</v>
      </c>
      <c r="E362" s="16" t="s">
        <v>14</v>
      </c>
      <c r="F362" s="16" t="s">
        <v>22</v>
      </c>
      <c r="G362" s="16" t="s">
        <v>55</v>
      </c>
      <c r="H362" s="16" t="s">
        <v>110</v>
      </c>
      <c r="I362" s="16" t="s">
        <v>25</v>
      </c>
      <c r="J362" s="16" t="s">
        <v>26</v>
      </c>
      <c r="K362" s="16" t="s">
        <v>19</v>
      </c>
      <c r="L362" s="16" t="s">
        <v>19</v>
      </c>
      <c r="O362"/>
      <c r="P362"/>
    </row>
    <row r="363" spans="1:16" x14ac:dyDescent="0.25">
      <c r="A363" s="16" t="s">
        <v>442</v>
      </c>
      <c r="B363" s="13">
        <v>45951</v>
      </c>
      <c r="C363" s="13">
        <v>45956</v>
      </c>
      <c r="D363" s="16" t="s">
        <v>28</v>
      </c>
      <c r="E363" s="16" t="s">
        <v>29</v>
      </c>
      <c r="F363" s="16" t="s">
        <v>41</v>
      </c>
      <c r="G363" s="16" t="s">
        <v>42</v>
      </c>
      <c r="H363" s="16" t="s">
        <v>110</v>
      </c>
      <c r="I363" s="16" t="s">
        <v>52</v>
      </c>
      <c r="J363" s="16" t="s">
        <v>34</v>
      </c>
      <c r="K363" s="16" t="s">
        <v>20</v>
      </c>
      <c r="L363" s="16" t="s">
        <v>20</v>
      </c>
      <c r="O363"/>
      <c r="P363"/>
    </row>
    <row r="364" spans="1:16" x14ac:dyDescent="0.25">
      <c r="A364" s="16" t="s">
        <v>443</v>
      </c>
      <c r="B364" s="12">
        <v>45944</v>
      </c>
      <c r="C364" s="13">
        <v>45945</v>
      </c>
      <c r="D364" s="16" t="s">
        <v>49</v>
      </c>
      <c r="E364" s="16" t="s">
        <v>14</v>
      </c>
      <c r="F364" s="16" t="s">
        <v>22</v>
      </c>
      <c r="G364" s="16" t="s">
        <v>23</v>
      </c>
      <c r="H364" s="16" t="s">
        <v>151</v>
      </c>
      <c r="I364" s="16" t="s">
        <v>17</v>
      </c>
      <c r="J364" s="16" t="s">
        <v>18</v>
      </c>
      <c r="K364" s="16" t="s">
        <v>39</v>
      </c>
      <c r="L364" s="16" t="s">
        <v>20</v>
      </c>
      <c r="O364"/>
      <c r="P364"/>
    </row>
    <row r="365" spans="1:16" x14ac:dyDescent="0.25">
      <c r="A365" s="16" t="s">
        <v>444</v>
      </c>
      <c r="B365" s="13">
        <v>45738</v>
      </c>
      <c r="C365" s="16">
        <v>45741</v>
      </c>
      <c r="D365" s="16" t="s">
        <v>49</v>
      </c>
      <c r="E365" s="16" t="s">
        <v>195</v>
      </c>
      <c r="F365" s="16" t="s">
        <v>22</v>
      </c>
      <c r="G365" s="16" t="s">
        <v>42</v>
      </c>
      <c r="H365" s="16" t="s">
        <v>43</v>
      </c>
      <c r="I365" s="16" t="s">
        <v>47</v>
      </c>
      <c r="J365" s="16" t="s">
        <v>34</v>
      </c>
      <c r="K365" s="16" t="s">
        <v>19</v>
      </c>
      <c r="L365" s="16" t="s">
        <v>19</v>
      </c>
      <c r="O365"/>
      <c r="P365"/>
    </row>
    <row r="366" spans="1:16" x14ac:dyDescent="0.25">
      <c r="A366" s="16" t="s">
        <v>445</v>
      </c>
      <c r="B366" s="13">
        <v>45768</v>
      </c>
      <c r="C366" s="13"/>
      <c r="D366" s="16" t="s">
        <v>28</v>
      </c>
      <c r="E366" s="16" t="s">
        <v>14</v>
      </c>
      <c r="F366" s="16" t="s">
        <v>54</v>
      </c>
      <c r="G366" s="16" t="s">
        <v>42</v>
      </c>
      <c r="H366" s="16" t="s">
        <v>56</v>
      </c>
      <c r="I366" s="16" t="s">
        <v>33</v>
      </c>
      <c r="J366" s="16" t="s">
        <v>26</v>
      </c>
      <c r="K366" s="16" t="s">
        <v>19</v>
      </c>
      <c r="L366" s="16" t="s">
        <v>19</v>
      </c>
      <c r="O366"/>
      <c r="P366"/>
    </row>
    <row r="367" spans="1:16" x14ac:dyDescent="0.25">
      <c r="A367" s="16" t="s">
        <v>446</v>
      </c>
      <c r="B367" s="12">
        <v>45888</v>
      </c>
      <c r="C367" s="16">
        <v>45889</v>
      </c>
      <c r="D367" s="16" t="s">
        <v>28</v>
      </c>
      <c r="E367" s="16" t="s">
        <v>76</v>
      </c>
      <c r="F367" s="16" t="s">
        <v>36</v>
      </c>
      <c r="G367" s="16" t="s">
        <v>55</v>
      </c>
      <c r="H367" s="16" t="s">
        <v>51</v>
      </c>
      <c r="I367" s="16" t="s">
        <v>69</v>
      </c>
      <c r="J367" s="16" t="s">
        <v>34</v>
      </c>
      <c r="K367" s="16" t="s">
        <v>39</v>
      </c>
      <c r="L367" s="16" t="s">
        <v>19</v>
      </c>
      <c r="O367"/>
      <c r="P367"/>
    </row>
    <row r="368" spans="1:16" x14ac:dyDescent="0.25">
      <c r="A368" s="16" t="s">
        <v>447</v>
      </c>
      <c r="B368" s="13">
        <v>45944</v>
      </c>
      <c r="C368" s="13"/>
      <c r="D368" s="16" t="s">
        <v>45</v>
      </c>
      <c r="E368" s="16" t="s">
        <v>85</v>
      </c>
      <c r="F368" s="16" t="s">
        <v>448</v>
      </c>
      <c r="G368" s="16" t="s">
        <v>55</v>
      </c>
      <c r="H368" s="16" t="s">
        <v>46</v>
      </c>
      <c r="I368" s="16" t="s">
        <v>17</v>
      </c>
      <c r="J368" s="16" t="s">
        <v>34</v>
      </c>
      <c r="K368" s="16" t="s">
        <v>20</v>
      </c>
      <c r="L368" s="16" t="s">
        <v>39</v>
      </c>
      <c r="O368"/>
      <c r="P368"/>
    </row>
    <row r="369" spans="1:16" x14ac:dyDescent="0.25">
      <c r="A369" s="16" t="s">
        <v>449</v>
      </c>
      <c r="B369" s="13">
        <v>45954</v>
      </c>
      <c r="C369" s="13">
        <v>45956</v>
      </c>
      <c r="D369" s="16" t="s">
        <v>49</v>
      </c>
      <c r="E369" s="16" t="s">
        <v>389</v>
      </c>
      <c r="F369" s="16" t="s">
        <v>54</v>
      </c>
      <c r="G369" s="16" t="s">
        <v>55</v>
      </c>
      <c r="H369" s="16" t="s">
        <v>59</v>
      </c>
      <c r="I369" s="16" t="s">
        <v>38</v>
      </c>
      <c r="J369" s="16" t="s">
        <v>18</v>
      </c>
      <c r="K369" s="16" t="s">
        <v>39</v>
      </c>
      <c r="L369" s="16" t="s">
        <v>20</v>
      </c>
      <c r="O369"/>
      <c r="P369"/>
    </row>
    <row r="370" spans="1:16" x14ac:dyDescent="0.25">
      <c r="A370" s="16" t="s">
        <v>450</v>
      </c>
      <c r="B370" s="13">
        <v>45866</v>
      </c>
      <c r="C370" s="13">
        <v>45869</v>
      </c>
      <c r="D370" s="16" t="s">
        <v>49</v>
      </c>
      <c r="E370" s="16" t="s">
        <v>29</v>
      </c>
      <c r="F370" s="16" t="s">
        <v>50</v>
      </c>
      <c r="G370" s="16" t="s">
        <v>31</v>
      </c>
      <c r="H370" s="16" t="s">
        <v>77</v>
      </c>
      <c r="I370" s="16" t="s">
        <v>47</v>
      </c>
      <c r="J370" s="16" t="s">
        <v>34</v>
      </c>
      <c r="K370" s="16" t="s">
        <v>20</v>
      </c>
      <c r="L370" s="16" t="s">
        <v>19</v>
      </c>
      <c r="O370"/>
      <c r="P370"/>
    </row>
    <row r="371" spans="1:16" x14ac:dyDescent="0.25">
      <c r="A371" s="16" t="s">
        <v>451</v>
      </c>
      <c r="B371" s="13">
        <v>45895</v>
      </c>
      <c r="C371" s="13">
        <v>45895</v>
      </c>
      <c r="D371" s="16" t="s">
        <v>49</v>
      </c>
      <c r="E371" s="16" t="s">
        <v>29</v>
      </c>
      <c r="F371" s="16" t="s">
        <v>50</v>
      </c>
      <c r="G371" s="16" t="s">
        <v>23</v>
      </c>
      <c r="H371" s="16" t="s">
        <v>43</v>
      </c>
      <c r="I371" s="16" t="s">
        <v>33</v>
      </c>
      <c r="J371" s="16" t="s">
        <v>26</v>
      </c>
      <c r="K371" s="16" t="s">
        <v>39</v>
      </c>
      <c r="L371" s="16" t="s">
        <v>39</v>
      </c>
      <c r="O371"/>
      <c r="P371"/>
    </row>
    <row r="372" spans="1:16" x14ac:dyDescent="0.25">
      <c r="A372" s="16" t="s">
        <v>452</v>
      </c>
      <c r="B372" s="13">
        <v>45783</v>
      </c>
      <c r="C372" s="16">
        <v>45786</v>
      </c>
      <c r="D372" s="16" t="s">
        <v>45</v>
      </c>
      <c r="E372" s="16" t="s">
        <v>76</v>
      </c>
      <c r="F372" s="16" t="s">
        <v>66</v>
      </c>
      <c r="G372" s="16" t="s">
        <v>16</v>
      </c>
      <c r="H372" s="16" t="s">
        <v>37</v>
      </c>
      <c r="I372" s="16" t="s">
        <v>52</v>
      </c>
      <c r="J372" s="16" t="s">
        <v>26</v>
      </c>
      <c r="K372" s="16" t="s">
        <v>19</v>
      </c>
      <c r="L372" s="16" t="s">
        <v>20</v>
      </c>
      <c r="O372"/>
      <c r="P372"/>
    </row>
    <row r="373" spans="1:16" x14ac:dyDescent="0.25">
      <c r="A373" s="16" t="s">
        <v>453</v>
      </c>
      <c r="B373" s="13">
        <v>45946</v>
      </c>
      <c r="C373" s="13"/>
      <c r="D373" s="16" t="s">
        <v>28</v>
      </c>
      <c r="E373" s="16" t="s">
        <v>14</v>
      </c>
      <c r="F373" s="16" t="s">
        <v>297</v>
      </c>
      <c r="G373" s="16" t="s">
        <v>31</v>
      </c>
      <c r="H373" s="16" t="s">
        <v>151</v>
      </c>
      <c r="I373" s="16" t="s">
        <v>47</v>
      </c>
      <c r="J373" s="16" t="s">
        <v>60</v>
      </c>
      <c r="K373" s="16" t="s">
        <v>19</v>
      </c>
      <c r="L373" s="16" t="s">
        <v>39</v>
      </c>
      <c r="O373"/>
      <c r="P373"/>
    </row>
    <row r="374" spans="1:16" x14ac:dyDescent="0.25">
      <c r="A374" s="16" t="s">
        <v>454</v>
      </c>
      <c r="B374" s="12">
        <v>45997</v>
      </c>
      <c r="C374" s="13">
        <v>45997</v>
      </c>
      <c r="D374" s="16" t="s">
        <v>28</v>
      </c>
      <c r="E374" s="16" t="s">
        <v>29</v>
      </c>
      <c r="F374" s="16" t="s">
        <v>66</v>
      </c>
      <c r="G374" s="16" t="s">
        <v>23</v>
      </c>
      <c r="H374" s="16" t="s">
        <v>24</v>
      </c>
      <c r="I374" s="16" t="s">
        <v>47</v>
      </c>
      <c r="J374" s="16" t="s">
        <v>26</v>
      </c>
      <c r="K374" s="16" t="s">
        <v>19</v>
      </c>
      <c r="L374" s="16" t="s">
        <v>19</v>
      </c>
      <c r="O374"/>
      <c r="P374"/>
    </row>
    <row r="375" spans="1:16" x14ac:dyDescent="0.25">
      <c r="A375" s="16" t="s">
        <v>455</v>
      </c>
      <c r="B375" s="12">
        <v>46001</v>
      </c>
      <c r="C375" s="13">
        <v>46002</v>
      </c>
      <c r="D375" s="16" t="s">
        <v>45</v>
      </c>
      <c r="E375" s="16" t="s">
        <v>14</v>
      </c>
      <c r="F375" s="16" t="s">
        <v>36</v>
      </c>
      <c r="G375" s="16" t="s">
        <v>31</v>
      </c>
      <c r="H375" s="16" t="s">
        <v>43</v>
      </c>
      <c r="I375" s="16" t="s">
        <v>33</v>
      </c>
      <c r="J375" s="16" t="s">
        <v>18</v>
      </c>
      <c r="K375" s="16" t="s">
        <v>39</v>
      </c>
      <c r="L375" s="16" t="s">
        <v>19</v>
      </c>
      <c r="O375"/>
      <c r="P375"/>
    </row>
    <row r="376" spans="1:16" x14ac:dyDescent="0.25">
      <c r="A376" s="16" t="s">
        <v>456</v>
      </c>
      <c r="B376" s="13">
        <v>45704</v>
      </c>
      <c r="C376" s="13">
        <v>45708</v>
      </c>
      <c r="D376" s="16" t="s">
        <v>13</v>
      </c>
      <c r="E376" s="16" t="s">
        <v>14</v>
      </c>
      <c r="F376" s="16" t="s">
        <v>30</v>
      </c>
      <c r="G376" s="16" t="s">
        <v>55</v>
      </c>
      <c r="H376" s="16" t="s">
        <v>51</v>
      </c>
      <c r="I376" s="16" t="s">
        <v>25</v>
      </c>
      <c r="J376" s="16" t="s">
        <v>18</v>
      </c>
      <c r="K376" s="16" t="s">
        <v>19</v>
      </c>
      <c r="L376" s="16" t="s">
        <v>19</v>
      </c>
      <c r="O376"/>
      <c r="P376"/>
    </row>
    <row r="377" spans="1:16" x14ac:dyDescent="0.25">
      <c r="A377" s="16" t="s">
        <v>457</v>
      </c>
      <c r="B377" s="13">
        <v>45947</v>
      </c>
      <c r="C377" s="13">
        <v>45947</v>
      </c>
      <c r="D377" s="16" t="s">
        <v>45</v>
      </c>
      <c r="E377" s="16" t="s">
        <v>14</v>
      </c>
      <c r="F377" s="16" t="s">
        <v>41</v>
      </c>
      <c r="G377" s="16" t="s">
        <v>55</v>
      </c>
      <c r="H377" s="16" t="s">
        <v>77</v>
      </c>
      <c r="I377" s="16" t="s">
        <v>25</v>
      </c>
      <c r="J377" s="16" t="s">
        <v>18</v>
      </c>
      <c r="K377" s="16" t="s">
        <v>39</v>
      </c>
      <c r="L377" s="16" t="s">
        <v>20</v>
      </c>
      <c r="O377"/>
      <c r="P377"/>
    </row>
    <row r="378" spans="1:16" x14ac:dyDescent="0.25">
      <c r="A378" s="16" t="s">
        <v>458</v>
      </c>
      <c r="B378" s="13">
        <v>45684</v>
      </c>
      <c r="C378" s="13">
        <v>45687</v>
      </c>
      <c r="D378" s="16" t="s">
        <v>45</v>
      </c>
      <c r="E378" s="16" t="s">
        <v>14</v>
      </c>
      <c r="F378" s="16" t="s">
        <v>66</v>
      </c>
      <c r="G378" s="16"/>
      <c r="H378" s="16" t="s">
        <v>95</v>
      </c>
      <c r="I378" s="16" t="s">
        <v>47</v>
      </c>
      <c r="J378" s="16" t="s">
        <v>26</v>
      </c>
      <c r="K378" s="16" t="s">
        <v>39</v>
      </c>
      <c r="L378" s="16" t="s">
        <v>39</v>
      </c>
      <c r="O378"/>
      <c r="P378"/>
    </row>
    <row r="379" spans="1:16" x14ac:dyDescent="0.25">
      <c r="A379" s="16" t="s">
        <v>459</v>
      </c>
      <c r="B379" s="13">
        <v>45950</v>
      </c>
      <c r="C379" s="13">
        <v>45953</v>
      </c>
      <c r="D379" s="16" t="s">
        <v>28</v>
      </c>
      <c r="E379" s="16" t="s">
        <v>14</v>
      </c>
      <c r="F379" s="16" t="s">
        <v>41</v>
      </c>
      <c r="G379" s="16" t="s">
        <v>55</v>
      </c>
      <c r="H379" s="16" t="s">
        <v>43</v>
      </c>
      <c r="I379" s="16" t="s">
        <v>47</v>
      </c>
      <c r="J379" s="16" t="s">
        <v>34</v>
      </c>
      <c r="K379" s="16" t="s">
        <v>39</v>
      </c>
      <c r="L379" s="16" t="s">
        <v>20</v>
      </c>
      <c r="O379"/>
      <c r="P379"/>
    </row>
    <row r="380" spans="1:16" x14ac:dyDescent="0.25">
      <c r="A380" s="16" t="s">
        <v>460</v>
      </c>
      <c r="B380" s="13">
        <v>45832</v>
      </c>
      <c r="C380" s="13">
        <v>45832</v>
      </c>
      <c r="D380" s="16" t="s">
        <v>13</v>
      </c>
      <c r="E380" s="16" t="s">
        <v>14</v>
      </c>
      <c r="F380" s="16" t="s">
        <v>54</v>
      </c>
      <c r="G380" s="16" t="s">
        <v>16</v>
      </c>
      <c r="H380" s="16"/>
      <c r="I380" s="16" t="s">
        <v>33</v>
      </c>
      <c r="J380" s="16" t="s">
        <v>60</v>
      </c>
      <c r="K380" s="16" t="s">
        <v>20</v>
      </c>
      <c r="L380" s="16" t="s">
        <v>19</v>
      </c>
      <c r="O380"/>
      <c r="P380"/>
    </row>
    <row r="381" spans="1:16" x14ac:dyDescent="0.25">
      <c r="A381" s="16" t="s">
        <v>461</v>
      </c>
      <c r="B381" s="12">
        <v>45970</v>
      </c>
      <c r="C381" s="13">
        <v>45972</v>
      </c>
      <c r="D381" s="16" t="s">
        <v>49</v>
      </c>
      <c r="E381" s="16" t="s">
        <v>88</v>
      </c>
      <c r="F381" s="16" t="s">
        <v>30</v>
      </c>
      <c r="G381" s="16" t="s">
        <v>42</v>
      </c>
      <c r="H381" s="16" t="s">
        <v>24</v>
      </c>
      <c r="I381" s="16" t="s">
        <v>47</v>
      </c>
      <c r="J381" s="16" t="s">
        <v>60</v>
      </c>
      <c r="K381" s="16" t="s">
        <v>39</v>
      </c>
      <c r="L381" s="16" t="s">
        <v>39</v>
      </c>
      <c r="O381"/>
      <c r="P381"/>
    </row>
    <row r="382" spans="1:16" x14ac:dyDescent="0.25">
      <c r="A382" s="16" t="s">
        <v>462</v>
      </c>
      <c r="B382" s="13">
        <v>45671</v>
      </c>
      <c r="C382" s="13">
        <v>45672</v>
      </c>
      <c r="D382" s="16" t="s">
        <v>28</v>
      </c>
      <c r="E382" s="16" t="s">
        <v>29</v>
      </c>
      <c r="F382" s="16" t="s">
        <v>50</v>
      </c>
      <c r="G382" s="16" t="s">
        <v>31</v>
      </c>
      <c r="H382" s="16" t="s">
        <v>128</v>
      </c>
      <c r="I382" s="16" t="s">
        <v>38</v>
      </c>
      <c r="J382" s="16" t="s">
        <v>26</v>
      </c>
      <c r="K382" s="16" t="s">
        <v>39</v>
      </c>
      <c r="L382" s="16" t="s">
        <v>39</v>
      </c>
      <c r="O382"/>
      <c r="P382"/>
    </row>
    <row r="383" spans="1:16" x14ac:dyDescent="0.25">
      <c r="A383" s="16" t="s">
        <v>463</v>
      </c>
      <c r="B383" s="13">
        <v>45881</v>
      </c>
      <c r="C383" s="13">
        <v>45881</v>
      </c>
      <c r="D383" s="16" t="s">
        <v>28</v>
      </c>
      <c r="E383" s="16" t="s">
        <v>14</v>
      </c>
      <c r="F383" s="16" t="s">
        <v>22</v>
      </c>
      <c r="G383" s="16" t="s">
        <v>23</v>
      </c>
      <c r="H383" s="16" t="s">
        <v>24</v>
      </c>
      <c r="I383" s="16" t="s">
        <v>38</v>
      </c>
      <c r="J383" s="16" t="s">
        <v>34</v>
      </c>
      <c r="K383" s="16" t="s">
        <v>39</v>
      </c>
      <c r="L383" s="16" t="s">
        <v>19</v>
      </c>
      <c r="O383"/>
      <c r="P383"/>
    </row>
    <row r="384" spans="1:16" x14ac:dyDescent="0.25">
      <c r="A384" s="16" t="s">
        <v>464</v>
      </c>
      <c r="B384" s="12">
        <v>45761</v>
      </c>
      <c r="C384" s="13">
        <v>45761</v>
      </c>
      <c r="D384" s="16" t="s">
        <v>45</v>
      </c>
      <c r="E384" s="16" t="s">
        <v>29</v>
      </c>
      <c r="F384" s="16" t="s">
        <v>54</v>
      </c>
      <c r="G384" s="16" t="s">
        <v>55</v>
      </c>
      <c r="H384" s="16" t="s">
        <v>51</v>
      </c>
      <c r="I384" s="16" t="s">
        <v>38</v>
      </c>
      <c r="J384" s="16" t="s">
        <v>34</v>
      </c>
      <c r="K384" s="16" t="s">
        <v>19</v>
      </c>
      <c r="L384" s="16" t="s">
        <v>19</v>
      </c>
      <c r="O384"/>
      <c r="P384"/>
    </row>
    <row r="385" spans="1:16" x14ac:dyDescent="0.25">
      <c r="A385" s="16" t="s">
        <v>465</v>
      </c>
      <c r="B385" s="12">
        <v>45775</v>
      </c>
      <c r="C385" s="16">
        <v>45780</v>
      </c>
      <c r="D385" s="16" t="s">
        <v>45</v>
      </c>
      <c r="E385" s="16" t="s">
        <v>429</v>
      </c>
      <c r="F385" s="16" t="s">
        <v>66</v>
      </c>
      <c r="G385" s="16" t="s">
        <v>31</v>
      </c>
      <c r="H385" s="16" t="s">
        <v>95</v>
      </c>
      <c r="I385" s="16" t="s">
        <v>25</v>
      </c>
      <c r="J385" s="16" t="s">
        <v>60</v>
      </c>
      <c r="K385" s="16" t="s">
        <v>19</v>
      </c>
      <c r="L385" s="16" t="s">
        <v>39</v>
      </c>
      <c r="O385"/>
      <c r="P385"/>
    </row>
    <row r="386" spans="1:16" x14ac:dyDescent="0.25">
      <c r="A386" s="16" t="s">
        <v>466</v>
      </c>
      <c r="B386" s="13">
        <v>45842</v>
      </c>
      <c r="C386" s="13"/>
      <c r="D386" s="16" t="s">
        <v>45</v>
      </c>
      <c r="E386" s="16" t="s">
        <v>29</v>
      </c>
      <c r="F386" s="16" t="s">
        <v>54</v>
      </c>
      <c r="G386" s="16" t="s">
        <v>31</v>
      </c>
      <c r="H386" s="16" t="s">
        <v>43</v>
      </c>
      <c r="I386" s="16" t="s">
        <v>33</v>
      </c>
      <c r="J386" s="16" t="s">
        <v>18</v>
      </c>
      <c r="K386" s="16" t="s">
        <v>19</v>
      </c>
      <c r="L386" s="16" t="s">
        <v>39</v>
      </c>
      <c r="O386"/>
      <c r="P386"/>
    </row>
    <row r="387" spans="1:16" x14ac:dyDescent="0.25">
      <c r="A387" s="16" t="s">
        <v>467</v>
      </c>
      <c r="B387" s="12">
        <v>45714</v>
      </c>
      <c r="C387" s="13">
        <v>45717</v>
      </c>
      <c r="D387" s="16" t="s">
        <v>13</v>
      </c>
      <c r="E387" s="16" t="s">
        <v>29</v>
      </c>
      <c r="F387" s="16" t="s">
        <v>66</v>
      </c>
      <c r="G387" s="16" t="s">
        <v>55</v>
      </c>
      <c r="H387" s="16" t="s">
        <v>136</v>
      </c>
      <c r="I387" s="16" t="s">
        <v>47</v>
      </c>
      <c r="J387" s="16" t="s">
        <v>26</v>
      </c>
      <c r="K387" s="16" t="s">
        <v>20</v>
      </c>
      <c r="L387" s="16" t="s">
        <v>19</v>
      </c>
      <c r="O387"/>
      <c r="P387"/>
    </row>
    <row r="388" spans="1:16" x14ac:dyDescent="0.25">
      <c r="A388" s="16" t="s">
        <v>468</v>
      </c>
      <c r="B388" s="13">
        <v>45973</v>
      </c>
      <c r="C388" s="13">
        <v>45974</v>
      </c>
      <c r="D388" s="16" t="s">
        <v>45</v>
      </c>
      <c r="E388" s="16" t="s">
        <v>14</v>
      </c>
      <c r="F388" s="16" t="s">
        <v>36</v>
      </c>
      <c r="G388" s="16" t="s">
        <v>31</v>
      </c>
      <c r="H388" s="16" t="s">
        <v>43</v>
      </c>
      <c r="I388" s="16" t="s">
        <v>69</v>
      </c>
      <c r="J388" s="16" t="s">
        <v>60</v>
      </c>
      <c r="K388" s="16" t="s">
        <v>39</v>
      </c>
      <c r="L388" s="16" t="s">
        <v>39</v>
      </c>
      <c r="O388"/>
      <c r="P388"/>
    </row>
    <row r="389" spans="1:16" x14ac:dyDescent="0.25">
      <c r="A389" s="16" t="s">
        <v>469</v>
      </c>
      <c r="B389" s="13">
        <v>45822</v>
      </c>
      <c r="C389" s="13">
        <v>45822</v>
      </c>
      <c r="D389" s="16" t="s">
        <v>45</v>
      </c>
      <c r="E389" s="16" t="s">
        <v>29</v>
      </c>
      <c r="F389" s="16" t="s">
        <v>54</v>
      </c>
      <c r="G389" s="16"/>
      <c r="H389" s="16" t="s">
        <v>62</v>
      </c>
      <c r="I389" s="16" t="s">
        <v>25</v>
      </c>
      <c r="J389" s="16" t="s">
        <v>26</v>
      </c>
      <c r="K389" s="16" t="s">
        <v>19</v>
      </c>
      <c r="L389" s="16" t="s">
        <v>19</v>
      </c>
      <c r="O389"/>
      <c r="P389"/>
    </row>
    <row r="390" spans="1:16" x14ac:dyDescent="0.25">
      <c r="A390" s="16" t="s">
        <v>470</v>
      </c>
      <c r="B390" s="13">
        <v>45923</v>
      </c>
      <c r="C390" s="13">
        <v>45928</v>
      </c>
      <c r="D390" s="16" t="s">
        <v>45</v>
      </c>
      <c r="E390" s="16" t="s">
        <v>14</v>
      </c>
      <c r="F390" s="16" t="s">
        <v>30</v>
      </c>
      <c r="G390" s="16" t="s">
        <v>23</v>
      </c>
      <c r="H390" s="16" t="s">
        <v>136</v>
      </c>
      <c r="I390" s="16" t="s">
        <v>25</v>
      </c>
      <c r="J390" s="16" t="s">
        <v>26</v>
      </c>
      <c r="K390" s="16" t="s">
        <v>20</v>
      </c>
      <c r="L390" s="16" t="s">
        <v>20</v>
      </c>
      <c r="O390"/>
      <c r="P390"/>
    </row>
    <row r="391" spans="1:16" x14ac:dyDescent="0.25">
      <c r="A391" s="16" t="s">
        <v>471</v>
      </c>
      <c r="B391" s="13">
        <v>45698</v>
      </c>
      <c r="C391" s="13">
        <v>45700</v>
      </c>
      <c r="D391" s="16" t="s">
        <v>13</v>
      </c>
      <c r="E391" s="16" t="s">
        <v>14</v>
      </c>
      <c r="F391" s="16" t="s">
        <v>54</v>
      </c>
      <c r="G391" s="16" t="s">
        <v>16</v>
      </c>
      <c r="H391" s="16" t="s">
        <v>24</v>
      </c>
      <c r="I391" s="16" t="s">
        <v>69</v>
      </c>
      <c r="J391" s="16" t="s">
        <v>60</v>
      </c>
      <c r="K391" s="16" t="s">
        <v>20</v>
      </c>
      <c r="L391" s="16" t="s">
        <v>39</v>
      </c>
      <c r="O391"/>
      <c r="P391"/>
    </row>
    <row r="392" spans="1:16" x14ac:dyDescent="0.25">
      <c r="A392" s="16" t="s">
        <v>472</v>
      </c>
      <c r="B392" s="13">
        <v>45864</v>
      </c>
      <c r="C392" s="13">
        <v>45870</v>
      </c>
      <c r="D392" s="16" t="s">
        <v>13</v>
      </c>
      <c r="E392" s="16" t="s">
        <v>29</v>
      </c>
      <c r="F392" s="16" t="s">
        <v>66</v>
      </c>
      <c r="G392" s="16" t="s">
        <v>23</v>
      </c>
      <c r="H392" s="16" t="s">
        <v>77</v>
      </c>
      <c r="I392" s="16" t="s">
        <v>47</v>
      </c>
      <c r="J392" s="16" t="s">
        <v>26</v>
      </c>
      <c r="K392" s="16" t="s">
        <v>20</v>
      </c>
      <c r="L392" s="16" t="s">
        <v>19</v>
      </c>
      <c r="O392"/>
      <c r="P392"/>
    </row>
    <row r="393" spans="1:16" x14ac:dyDescent="0.25">
      <c r="A393" s="16" t="s">
        <v>473</v>
      </c>
      <c r="B393" s="13">
        <v>46015</v>
      </c>
      <c r="C393" s="13">
        <v>46021</v>
      </c>
      <c r="D393" s="16" t="s">
        <v>13</v>
      </c>
      <c r="E393" s="16" t="s">
        <v>14</v>
      </c>
      <c r="F393" s="16" t="s">
        <v>54</v>
      </c>
      <c r="G393" s="16" t="s">
        <v>31</v>
      </c>
      <c r="H393" s="16" t="s">
        <v>37</v>
      </c>
      <c r="I393" s="16" t="s">
        <v>52</v>
      </c>
      <c r="J393" s="16" t="s">
        <v>26</v>
      </c>
      <c r="K393" s="16" t="s">
        <v>39</v>
      </c>
      <c r="L393" s="16" t="s">
        <v>39</v>
      </c>
      <c r="O393"/>
      <c r="P393"/>
    </row>
    <row r="394" spans="1:16" x14ac:dyDescent="0.25">
      <c r="A394" s="16" t="s">
        <v>474</v>
      </c>
      <c r="B394" s="12">
        <v>45674</v>
      </c>
      <c r="C394" s="16">
        <v>45678</v>
      </c>
      <c r="D394" s="16" t="s">
        <v>28</v>
      </c>
      <c r="E394" s="16" t="s">
        <v>58</v>
      </c>
      <c r="F394" s="16" t="s">
        <v>36</v>
      </c>
      <c r="G394" s="16" t="s">
        <v>31</v>
      </c>
      <c r="H394" s="16" t="s">
        <v>128</v>
      </c>
      <c r="I394" s="16" t="s">
        <v>69</v>
      </c>
      <c r="J394" s="16" t="s">
        <v>60</v>
      </c>
      <c r="K394" s="16" t="s">
        <v>39</v>
      </c>
      <c r="L394" s="16" t="s">
        <v>20</v>
      </c>
      <c r="O394"/>
      <c r="P394"/>
    </row>
    <row r="395" spans="1:16" x14ac:dyDescent="0.25">
      <c r="A395" s="16" t="s">
        <v>475</v>
      </c>
      <c r="B395" s="13">
        <v>45941</v>
      </c>
      <c r="C395" s="13"/>
      <c r="D395" s="16" t="s">
        <v>49</v>
      </c>
      <c r="E395" s="16" t="s">
        <v>29</v>
      </c>
      <c r="F395" s="16" t="s">
        <v>30</v>
      </c>
      <c r="G395" s="16" t="s">
        <v>42</v>
      </c>
      <c r="H395" s="16" t="s">
        <v>134</v>
      </c>
      <c r="I395" s="16" t="s">
        <v>33</v>
      </c>
      <c r="J395" s="16" t="s">
        <v>18</v>
      </c>
      <c r="K395" s="16" t="s">
        <v>20</v>
      </c>
      <c r="L395" s="16" t="s">
        <v>39</v>
      </c>
      <c r="O395"/>
      <c r="P395"/>
    </row>
    <row r="396" spans="1:16" x14ac:dyDescent="0.25">
      <c r="A396" s="16" t="s">
        <v>146</v>
      </c>
      <c r="B396" s="13">
        <v>45868</v>
      </c>
      <c r="C396" s="16">
        <v>45870</v>
      </c>
      <c r="D396" s="16" t="s">
        <v>45</v>
      </c>
      <c r="E396" s="16" t="s">
        <v>76</v>
      </c>
      <c r="F396" s="16" t="s">
        <v>22</v>
      </c>
      <c r="G396" s="16" t="s">
        <v>55</v>
      </c>
      <c r="H396" s="16" t="s">
        <v>24</v>
      </c>
      <c r="I396" s="16" t="s">
        <v>38</v>
      </c>
      <c r="J396" s="16" t="s">
        <v>34</v>
      </c>
      <c r="K396" s="16" t="s">
        <v>20</v>
      </c>
      <c r="L396" s="16" t="s">
        <v>39</v>
      </c>
      <c r="O396"/>
      <c r="P396"/>
    </row>
    <row r="397" spans="1:16" x14ac:dyDescent="0.25">
      <c r="A397" s="16" t="s">
        <v>476</v>
      </c>
      <c r="B397" s="13">
        <v>45974</v>
      </c>
      <c r="C397" s="13">
        <v>45975</v>
      </c>
      <c r="D397" s="16" t="s">
        <v>49</v>
      </c>
      <c r="E397" s="16" t="s">
        <v>14</v>
      </c>
      <c r="F397" s="16" t="s">
        <v>36</v>
      </c>
      <c r="G397" s="16" t="s">
        <v>23</v>
      </c>
      <c r="H397" s="16" t="s">
        <v>56</v>
      </c>
      <c r="I397" s="16" t="s">
        <v>38</v>
      </c>
      <c r="J397" s="16" t="s">
        <v>18</v>
      </c>
      <c r="K397" s="16" t="s">
        <v>19</v>
      </c>
      <c r="L397" s="16" t="s">
        <v>39</v>
      </c>
      <c r="O397"/>
      <c r="P397"/>
    </row>
    <row r="398" spans="1:16" x14ac:dyDescent="0.25">
      <c r="A398" s="16" t="s">
        <v>477</v>
      </c>
      <c r="B398" s="12">
        <v>45697</v>
      </c>
      <c r="C398" s="13">
        <v>45700</v>
      </c>
      <c r="D398" s="16" t="s">
        <v>45</v>
      </c>
      <c r="E398" s="16" t="s">
        <v>14</v>
      </c>
      <c r="F398" s="16" t="s">
        <v>36</v>
      </c>
      <c r="G398" s="16" t="s">
        <v>42</v>
      </c>
      <c r="H398" s="16" t="s">
        <v>43</v>
      </c>
      <c r="I398" s="16" t="s">
        <v>25</v>
      </c>
      <c r="J398" s="16" t="s">
        <v>34</v>
      </c>
      <c r="K398" s="16" t="s">
        <v>20</v>
      </c>
      <c r="L398" s="16" t="s">
        <v>19</v>
      </c>
      <c r="O398"/>
      <c r="P398"/>
    </row>
    <row r="399" spans="1:16" x14ac:dyDescent="0.25">
      <c r="A399" s="16" t="s">
        <v>478</v>
      </c>
      <c r="B399" s="12">
        <v>45906</v>
      </c>
      <c r="C399" s="13">
        <v>45907</v>
      </c>
      <c r="D399" s="16" t="s">
        <v>28</v>
      </c>
      <c r="E399" s="16" t="s">
        <v>29</v>
      </c>
      <c r="F399" s="16" t="s">
        <v>265</v>
      </c>
      <c r="G399" s="16" t="s">
        <v>23</v>
      </c>
      <c r="H399" s="16" t="s">
        <v>43</v>
      </c>
      <c r="I399" s="16" t="s">
        <v>52</v>
      </c>
      <c r="J399" s="16" t="s">
        <v>26</v>
      </c>
      <c r="K399" s="16" t="s">
        <v>39</v>
      </c>
      <c r="L399" s="16" t="s">
        <v>20</v>
      </c>
      <c r="O399"/>
      <c r="P399"/>
    </row>
    <row r="400" spans="1:16" x14ac:dyDescent="0.25">
      <c r="A400" s="16" t="s">
        <v>479</v>
      </c>
      <c r="B400" s="13">
        <v>45768</v>
      </c>
      <c r="C400" s="13">
        <v>45768</v>
      </c>
      <c r="D400" s="16" t="s">
        <v>45</v>
      </c>
      <c r="E400" s="16" t="s">
        <v>14</v>
      </c>
      <c r="F400" s="16" t="s">
        <v>15</v>
      </c>
      <c r="G400" s="16"/>
      <c r="H400" s="16" t="s">
        <v>32</v>
      </c>
      <c r="I400" s="16" t="s">
        <v>17</v>
      </c>
      <c r="J400" s="16" t="s">
        <v>34</v>
      </c>
      <c r="K400" s="16" t="s">
        <v>39</v>
      </c>
      <c r="L400" s="16" t="s">
        <v>39</v>
      </c>
      <c r="O400"/>
      <c r="P400"/>
    </row>
    <row r="401" spans="1:16" x14ac:dyDescent="0.25">
      <c r="A401" s="16" t="s">
        <v>480</v>
      </c>
      <c r="B401" s="13">
        <v>45665</v>
      </c>
      <c r="C401" s="13">
        <v>45665</v>
      </c>
      <c r="D401" s="16" t="s">
        <v>13</v>
      </c>
      <c r="E401" s="16" t="s">
        <v>29</v>
      </c>
      <c r="F401" s="16" t="s">
        <v>66</v>
      </c>
      <c r="G401" s="16" t="s">
        <v>23</v>
      </c>
      <c r="H401" s="16" t="s">
        <v>32</v>
      </c>
      <c r="I401" s="16" t="s">
        <v>38</v>
      </c>
      <c r="J401" s="16" t="s">
        <v>60</v>
      </c>
      <c r="K401" s="16" t="s">
        <v>39</v>
      </c>
      <c r="L401" s="16" t="s">
        <v>39</v>
      </c>
      <c r="O401"/>
      <c r="P401"/>
    </row>
    <row r="402" spans="1:16" x14ac:dyDescent="0.25">
      <c r="A402" s="16" t="s">
        <v>481</v>
      </c>
      <c r="B402" s="13">
        <v>45823</v>
      </c>
      <c r="D402" s="16" t="s">
        <v>13</v>
      </c>
      <c r="E402" s="16" t="s">
        <v>58</v>
      </c>
      <c r="F402" s="16" t="s">
        <v>54</v>
      </c>
      <c r="G402" s="16" t="s">
        <v>16</v>
      </c>
      <c r="H402" s="16" t="s">
        <v>56</v>
      </c>
      <c r="I402" s="16" t="s">
        <v>69</v>
      </c>
      <c r="J402" s="16" t="s">
        <v>18</v>
      </c>
      <c r="K402" s="16" t="s">
        <v>39</v>
      </c>
      <c r="L402" s="16" t="s">
        <v>19</v>
      </c>
      <c r="O402"/>
      <c r="P402"/>
    </row>
    <row r="403" spans="1:16" x14ac:dyDescent="0.25">
      <c r="A403" s="16" t="s">
        <v>482</v>
      </c>
      <c r="B403" s="12">
        <v>45949</v>
      </c>
      <c r="D403" s="16" t="s">
        <v>28</v>
      </c>
      <c r="E403" s="16" t="s">
        <v>58</v>
      </c>
      <c r="F403" s="16" t="s">
        <v>54</v>
      </c>
      <c r="G403" s="16" t="s">
        <v>23</v>
      </c>
      <c r="H403" s="16" t="s">
        <v>151</v>
      </c>
      <c r="I403" s="16" t="s">
        <v>33</v>
      </c>
      <c r="J403" s="16" t="s">
        <v>18</v>
      </c>
      <c r="K403" s="16" t="s">
        <v>20</v>
      </c>
      <c r="L403" s="16" t="s">
        <v>19</v>
      </c>
      <c r="O403"/>
      <c r="P403"/>
    </row>
    <row r="404" spans="1:16" x14ac:dyDescent="0.25">
      <c r="A404" s="16" t="s">
        <v>483</v>
      </c>
      <c r="B404" s="13">
        <v>45777</v>
      </c>
      <c r="C404" s="13">
        <v>45777</v>
      </c>
      <c r="D404" s="16" t="s">
        <v>28</v>
      </c>
      <c r="E404" s="16" t="s">
        <v>29</v>
      </c>
      <c r="F404" s="16" t="s">
        <v>54</v>
      </c>
      <c r="G404" s="16" t="s">
        <v>23</v>
      </c>
      <c r="H404" s="16" t="s">
        <v>43</v>
      </c>
      <c r="I404" s="16" t="s">
        <v>17</v>
      </c>
      <c r="J404" s="16" t="s">
        <v>18</v>
      </c>
      <c r="K404" s="16" t="s">
        <v>19</v>
      </c>
      <c r="L404" s="16" t="s">
        <v>20</v>
      </c>
      <c r="O404"/>
      <c r="P404"/>
    </row>
    <row r="405" spans="1:16" x14ac:dyDescent="0.25">
      <c r="A405" s="16" t="s">
        <v>484</v>
      </c>
      <c r="B405" s="13">
        <v>45820</v>
      </c>
      <c r="C405" s="13">
        <v>45822</v>
      </c>
      <c r="D405" s="16" t="s">
        <v>49</v>
      </c>
      <c r="E405" s="16" t="s">
        <v>14</v>
      </c>
      <c r="F405" s="16" t="s">
        <v>36</v>
      </c>
      <c r="G405" s="16" t="s">
        <v>55</v>
      </c>
      <c r="H405" s="16" t="s">
        <v>59</v>
      </c>
      <c r="I405" s="16" t="s">
        <v>33</v>
      </c>
      <c r="J405" s="16" t="s">
        <v>18</v>
      </c>
      <c r="K405" s="16" t="s">
        <v>19</v>
      </c>
      <c r="L405" s="16" t="s">
        <v>20</v>
      </c>
      <c r="O405"/>
      <c r="P405"/>
    </row>
    <row r="406" spans="1:16" x14ac:dyDescent="0.25">
      <c r="A406" s="16" t="s">
        <v>485</v>
      </c>
      <c r="B406" s="13">
        <v>45980</v>
      </c>
      <c r="D406" s="16" t="s">
        <v>28</v>
      </c>
      <c r="E406" s="16" t="s">
        <v>76</v>
      </c>
      <c r="F406" s="16" t="s">
        <v>30</v>
      </c>
      <c r="G406" s="16" t="s">
        <v>31</v>
      </c>
      <c r="H406" s="16" t="s">
        <v>32</v>
      </c>
      <c r="I406" s="16" t="s">
        <v>38</v>
      </c>
      <c r="J406" s="16" t="s">
        <v>18</v>
      </c>
      <c r="K406" s="16" t="s">
        <v>20</v>
      </c>
      <c r="L406" s="16" t="s">
        <v>39</v>
      </c>
      <c r="O406"/>
      <c r="P406"/>
    </row>
    <row r="407" spans="1:16" x14ac:dyDescent="0.25">
      <c r="A407" s="16" t="s">
        <v>486</v>
      </c>
      <c r="B407" s="13">
        <v>45783</v>
      </c>
      <c r="C407" s="13">
        <v>45784</v>
      </c>
      <c r="D407" s="16" t="s">
        <v>49</v>
      </c>
      <c r="E407" s="16" t="s">
        <v>29</v>
      </c>
      <c r="F407" s="16" t="s">
        <v>41</v>
      </c>
      <c r="G407" s="16" t="s">
        <v>42</v>
      </c>
      <c r="H407" s="16" t="s">
        <v>136</v>
      </c>
      <c r="I407" s="16" t="s">
        <v>47</v>
      </c>
      <c r="J407" s="16" t="s">
        <v>18</v>
      </c>
      <c r="K407" s="16" t="s">
        <v>39</v>
      </c>
      <c r="L407" s="16" t="s">
        <v>20</v>
      </c>
      <c r="O407"/>
      <c r="P407"/>
    </row>
    <row r="408" spans="1:16" x14ac:dyDescent="0.25">
      <c r="A408" s="16" t="s">
        <v>487</v>
      </c>
      <c r="B408" s="12">
        <v>45700</v>
      </c>
      <c r="C408" s="13">
        <v>45701</v>
      </c>
      <c r="D408" s="16" t="s">
        <v>49</v>
      </c>
      <c r="E408" s="16" t="s">
        <v>14</v>
      </c>
      <c r="F408" s="16" t="s">
        <v>41</v>
      </c>
      <c r="G408" s="16" t="s">
        <v>23</v>
      </c>
      <c r="H408" s="16" t="s">
        <v>151</v>
      </c>
      <c r="I408" s="16" t="s">
        <v>25</v>
      </c>
      <c r="J408" s="16" t="s">
        <v>60</v>
      </c>
      <c r="K408" s="16" t="s">
        <v>19</v>
      </c>
      <c r="L408" s="16" t="s">
        <v>19</v>
      </c>
      <c r="O408"/>
      <c r="P408"/>
    </row>
    <row r="409" spans="1:16" x14ac:dyDescent="0.25">
      <c r="A409" s="16" t="s">
        <v>488</v>
      </c>
      <c r="B409" s="13">
        <v>45909</v>
      </c>
      <c r="C409" s="13">
        <v>45911</v>
      </c>
      <c r="D409" s="16" t="s">
        <v>45</v>
      </c>
      <c r="E409" s="16" t="s">
        <v>29</v>
      </c>
      <c r="F409" s="16" t="s">
        <v>15</v>
      </c>
      <c r="G409" s="16" t="s">
        <v>16</v>
      </c>
      <c r="H409" s="16" t="s">
        <v>77</v>
      </c>
      <c r="I409" s="16" t="s">
        <v>33</v>
      </c>
      <c r="J409" s="16" t="s">
        <v>18</v>
      </c>
      <c r="K409" s="16" t="s">
        <v>19</v>
      </c>
      <c r="L409" s="16" t="s">
        <v>19</v>
      </c>
      <c r="O409"/>
      <c r="P409"/>
    </row>
    <row r="410" spans="1:16" x14ac:dyDescent="0.25">
      <c r="A410" s="16" t="s">
        <v>489</v>
      </c>
      <c r="B410" s="13">
        <v>45687</v>
      </c>
      <c r="C410" s="13">
        <v>45688</v>
      </c>
      <c r="D410" s="16" t="s">
        <v>49</v>
      </c>
      <c r="E410" s="16" t="s">
        <v>14</v>
      </c>
      <c r="F410" s="16" t="s">
        <v>36</v>
      </c>
      <c r="G410" s="16" t="s">
        <v>31</v>
      </c>
      <c r="H410" s="16" t="s">
        <v>136</v>
      </c>
      <c r="I410" s="16" t="s">
        <v>25</v>
      </c>
      <c r="J410" s="16" t="s">
        <v>60</v>
      </c>
      <c r="K410" s="16" t="s">
        <v>39</v>
      </c>
      <c r="L410" s="16" t="s">
        <v>19</v>
      </c>
      <c r="O410"/>
      <c r="P410"/>
    </row>
    <row r="411" spans="1:16" x14ac:dyDescent="0.25">
      <c r="A411" s="16" t="s">
        <v>490</v>
      </c>
      <c r="B411" s="13">
        <v>45854</v>
      </c>
      <c r="C411" s="13">
        <v>45855</v>
      </c>
      <c r="D411" s="16" t="s">
        <v>28</v>
      </c>
      <c r="E411" s="16" t="s">
        <v>29</v>
      </c>
      <c r="F411" s="16" t="s">
        <v>50</v>
      </c>
      <c r="G411" s="16" t="s">
        <v>16</v>
      </c>
      <c r="H411" s="16" t="s">
        <v>77</v>
      </c>
      <c r="I411" s="16" t="s">
        <v>25</v>
      </c>
      <c r="J411" s="16" t="s">
        <v>26</v>
      </c>
      <c r="K411" s="16" t="s">
        <v>39</v>
      </c>
      <c r="L411" s="16" t="s">
        <v>20</v>
      </c>
      <c r="O411"/>
      <c r="P411"/>
    </row>
    <row r="412" spans="1:16" x14ac:dyDescent="0.25">
      <c r="A412" s="16" t="s">
        <v>491</v>
      </c>
      <c r="B412" s="12">
        <v>45861</v>
      </c>
      <c r="C412" s="13">
        <v>45861</v>
      </c>
      <c r="D412" s="16" t="s">
        <v>49</v>
      </c>
      <c r="E412" s="16" t="s">
        <v>389</v>
      </c>
      <c r="F412" s="16" t="s">
        <v>54</v>
      </c>
      <c r="G412" s="16" t="s">
        <v>23</v>
      </c>
      <c r="H412" s="16" t="s">
        <v>110</v>
      </c>
      <c r="I412" s="16" t="s">
        <v>33</v>
      </c>
      <c r="J412" s="16" t="s">
        <v>60</v>
      </c>
      <c r="K412" s="16" t="s">
        <v>20</v>
      </c>
      <c r="L412" s="16" t="s">
        <v>19</v>
      </c>
      <c r="O412"/>
      <c r="P412"/>
    </row>
    <row r="413" spans="1:16" x14ac:dyDescent="0.25">
      <c r="A413" s="16" t="s">
        <v>492</v>
      </c>
      <c r="B413" s="12">
        <v>45753</v>
      </c>
      <c r="D413" s="16" t="s">
        <v>28</v>
      </c>
      <c r="E413" s="16" t="s">
        <v>58</v>
      </c>
      <c r="F413" s="16" t="s">
        <v>30</v>
      </c>
      <c r="G413" s="16" t="s">
        <v>16</v>
      </c>
      <c r="H413" s="16" t="s">
        <v>79</v>
      </c>
      <c r="I413" s="16" t="s">
        <v>38</v>
      </c>
      <c r="J413" s="16" t="s">
        <v>60</v>
      </c>
      <c r="K413" s="16" t="s">
        <v>20</v>
      </c>
      <c r="L413" s="16" t="s">
        <v>39</v>
      </c>
      <c r="O413"/>
      <c r="P413"/>
    </row>
    <row r="414" spans="1:16" x14ac:dyDescent="0.25">
      <c r="A414" s="16" t="s">
        <v>493</v>
      </c>
      <c r="B414" s="13">
        <v>45957</v>
      </c>
      <c r="D414" s="16" t="s">
        <v>13</v>
      </c>
      <c r="E414" s="16" t="s">
        <v>58</v>
      </c>
      <c r="F414" s="16" t="s">
        <v>494</v>
      </c>
      <c r="G414" s="16" t="s">
        <v>55</v>
      </c>
      <c r="H414" s="16" t="s">
        <v>128</v>
      </c>
      <c r="I414" s="16" t="s">
        <v>33</v>
      </c>
      <c r="J414" s="16" t="s">
        <v>26</v>
      </c>
      <c r="K414" s="16" t="s">
        <v>20</v>
      </c>
      <c r="L414" s="16" t="s">
        <v>20</v>
      </c>
      <c r="O414"/>
      <c r="P414"/>
    </row>
    <row r="415" spans="1:16" x14ac:dyDescent="0.25">
      <c r="A415" s="16" t="s">
        <v>495</v>
      </c>
      <c r="B415" s="13">
        <v>45967</v>
      </c>
      <c r="C415" s="13">
        <v>45972</v>
      </c>
      <c r="D415" s="16" t="s">
        <v>13</v>
      </c>
      <c r="E415" s="16" t="s">
        <v>29</v>
      </c>
      <c r="F415" s="16" t="s">
        <v>22</v>
      </c>
      <c r="G415" s="16" t="s">
        <v>23</v>
      </c>
      <c r="H415" s="16" t="s">
        <v>95</v>
      </c>
      <c r="I415" s="16" t="s">
        <v>52</v>
      </c>
      <c r="J415" s="16" t="s">
        <v>34</v>
      </c>
      <c r="K415" s="16" t="s">
        <v>39</v>
      </c>
      <c r="L415" s="16" t="s">
        <v>19</v>
      </c>
      <c r="O415"/>
      <c r="P415"/>
    </row>
    <row r="416" spans="1:16" x14ac:dyDescent="0.25">
      <c r="A416" s="16" t="s">
        <v>496</v>
      </c>
      <c r="B416" s="13">
        <v>45929</v>
      </c>
      <c r="C416" s="13">
        <v>45930</v>
      </c>
      <c r="D416" s="16" t="s">
        <v>28</v>
      </c>
      <c r="E416" s="16" t="s">
        <v>29</v>
      </c>
      <c r="F416" s="16" t="s">
        <v>448</v>
      </c>
      <c r="G416" s="16" t="s">
        <v>23</v>
      </c>
      <c r="H416" s="16"/>
      <c r="I416" s="16" t="s">
        <v>47</v>
      </c>
      <c r="J416" s="16" t="s">
        <v>26</v>
      </c>
      <c r="K416" s="16" t="s">
        <v>19</v>
      </c>
      <c r="L416" s="16" t="s">
        <v>20</v>
      </c>
      <c r="O416"/>
      <c r="P416"/>
    </row>
    <row r="417" spans="1:16" x14ac:dyDescent="0.25">
      <c r="A417" s="16" t="s">
        <v>497</v>
      </c>
      <c r="B417" s="12">
        <v>45906</v>
      </c>
      <c r="C417" s="13">
        <v>45914</v>
      </c>
      <c r="D417" s="16" t="s">
        <v>13</v>
      </c>
      <c r="E417" s="16" t="s">
        <v>29</v>
      </c>
      <c r="F417" s="16" t="s">
        <v>15</v>
      </c>
      <c r="G417" s="16" t="s">
        <v>16</v>
      </c>
      <c r="H417" s="16" t="s">
        <v>128</v>
      </c>
      <c r="I417" s="16" t="s">
        <v>47</v>
      </c>
      <c r="J417" s="16" t="s">
        <v>60</v>
      </c>
      <c r="K417" s="16" t="s">
        <v>20</v>
      </c>
      <c r="L417" s="16" t="s">
        <v>19</v>
      </c>
      <c r="O417"/>
      <c r="P417"/>
    </row>
    <row r="418" spans="1:16" x14ac:dyDescent="0.25">
      <c r="A418" s="16" t="s">
        <v>498</v>
      </c>
      <c r="B418" s="12">
        <v>45897</v>
      </c>
      <c r="D418" s="16" t="s">
        <v>45</v>
      </c>
      <c r="E418" s="16" t="s">
        <v>58</v>
      </c>
      <c r="F418" s="16" t="s">
        <v>30</v>
      </c>
      <c r="G418" s="16" t="s">
        <v>55</v>
      </c>
      <c r="H418" s="16" t="s">
        <v>95</v>
      </c>
      <c r="I418" s="16" t="s">
        <v>38</v>
      </c>
      <c r="J418" s="16" t="s">
        <v>26</v>
      </c>
      <c r="K418" s="16" t="s">
        <v>39</v>
      </c>
      <c r="L418" s="16" t="s">
        <v>19</v>
      </c>
      <c r="O418"/>
      <c r="P418"/>
    </row>
    <row r="419" spans="1:16" x14ac:dyDescent="0.25">
      <c r="A419" s="16" t="s">
        <v>499</v>
      </c>
      <c r="B419" s="13">
        <v>45901</v>
      </c>
      <c r="C419" s="13">
        <v>45904</v>
      </c>
      <c r="D419" s="16" t="s">
        <v>13</v>
      </c>
      <c r="E419" s="16" t="s">
        <v>14</v>
      </c>
      <c r="F419" s="16" t="s">
        <v>22</v>
      </c>
      <c r="G419" s="16" t="s">
        <v>23</v>
      </c>
      <c r="H419" s="16" t="s">
        <v>43</v>
      </c>
      <c r="I419" s="16" t="s">
        <v>47</v>
      </c>
      <c r="J419" s="16" t="s">
        <v>34</v>
      </c>
      <c r="K419" s="16" t="s">
        <v>39</v>
      </c>
      <c r="L419" s="16" t="s">
        <v>20</v>
      </c>
      <c r="O419"/>
      <c r="P419"/>
    </row>
    <row r="420" spans="1:16" x14ac:dyDescent="0.25">
      <c r="A420" s="16" t="s">
        <v>500</v>
      </c>
      <c r="B420" s="13">
        <v>45702</v>
      </c>
      <c r="D420" s="16" t="s">
        <v>49</v>
      </c>
      <c r="E420" s="16" t="s">
        <v>76</v>
      </c>
      <c r="F420" s="16" t="s">
        <v>30</v>
      </c>
      <c r="G420" s="16" t="s">
        <v>42</v>
      </c>
      <c r="H420" s="16" t="s">
        <v>95</v>
      </c>
      <c r="I420" s="16" t="s">
        <v>47</v>
      </c>
      <c r="J420" s="16" t="s">
        <v>18</v>
      </c>
      <c r="K420" s="16" t="s">
        <v>20</v>
      </c>
      <c r="L420" s="16" t="s">
        <v>20</v>
      </c>
      <c r="O420"/>
      <c r="P420"/>
    </row>
    <row r="421" spans="1:16" x14ac:dyDescent="0.25">
      <c r="A421" s="16" t="s">
        <v>501</v>
      </c>
      <c r="B421" s="12">
        <v>46005</v>
      </c>
      <c r="C421" s="13">
        <v>46006</v>
      </c>
      <c r="D421" s="16" t="s">
        <v>28</v>
      </c>
      <c r="E421" s="16" t="s">
        <v>14</v>
      </c>
      <c r="F421" s="16" t="s">
        <v>41</v>
      </c>
      <c r="G421" s="16" t="s">
        <v>42</v>
      </c>
      <c r="H421" s="16" t="s">
        <v>106</v>
      </c>
      <c r="I421" s="16" t="s">
        <v>33</v>
      </c>
      <c r="J421" s="16" t="s">
        <v>26</v>
      </c>
      <c r="K421" s="16" t="s">
        <v>20</v>
      </c>
      <c r="L421" s="16" t="s">
        <v>19</v>
      </c>
      <c r="O421"/>
      <c r="P421"/>
    </row>
    <row r="422" spans="1:16" x14ac:dyDescent="0.25">
      <c r="A422" s="16" t="s">
        <v>502</v>
      </c>
      <c r="B422" s="13">
        <v>45721</v>
      </c>
      <c r="C422" s="13">
        <v>45721</v>
      </c>
      <c r="D422" s="16" t="s">
        <v>49</v>
      </c>
      <c r="E422" s="16" t="s">
        <v>29</v>
      </c>
      <c r="F422" s="16" t="s">
        <v>36</v>
      </c>
      <c r="G422" s="16" t="s">
        <v>31</v>
      </c>
      <c r="H422" s="16" t="s">
        <v>73</v>
      </c>
      <c r="I422" s="16" t="s">
        <v>47</v>
      </c>
      <c r="J422" s="16" t="s">
        <v>18</v>
      </c>
      <c r="K422" s="16" t="s">
        <v>19</v>
      </c>
      <c r="L422" s="16" t="s">
        <v>20</v>
      </c>
      <c r="O422"/>
      <c r="P422"/>
    </row>
    <row r="423" spans="1:16" x14ac:dyDescent="0.25">
      <c r="A423" s="16" t="s">
        <v>503</v>
      </c>
      <c r="B423" s="13">
        <v>45995</v>
      </c>
      <c r="C423" s="13">
        <v>45997</v>
      </c>
      <c r="D423" s="16" t="s">
        <v>49</v>
      </c>
      <c r="E423" s="16" t="s">
        <v>14</v>
      </c>
      <c r="F423" s="16" t="s">
        <v>22</v>
      </c>
      <c r="G423" s="16" t="s">
        <v>31</v>
      </c>
      <c r="H423" s="16" t="s">
        <v>51</v>
      </c>
      <c r="I423" s="16" t="s">
        <v>69</v>
      </c>
      <c r="J423" s="16" t="s">
        <v>60</v>
      </c>
      <c r="K423" s="16" t="s">
        <v>19</v>
      </c>
      <c r="L423" s="16" t="s">
        <v>20</v>
      </c>
      <c r="O423"/>
      <c r="P423"/>
    </row>
    <row r="424" spans="1:16" x14ac:dyDescent="0.25">
      <c r="A424" s="16" t="s">
        <v>504</v>
      </c>
      <c r="B424" s="13">
        <v>45741</v>
      </c>
      <c r="C424" s="13">
        <v>45744</v>
      </c>
      <c r="D424" s="16" t="s">
        <v>49</v>
      </c>
      <c r="E424" s="16" t="s">
        <v>29</v>
      </c>
      <c r="F424" s="16" t="s">
        <v>505</v>
      </c>
      <c r="G424" s="16" t="s">
        <v>31</v>
      </c>
      <c r="H424" s="16" t="s">
        <v>77</v>
      </c>
      <c r="I424" s="16" t="s">
        <v>25</v>
      </c>
      <c r="J424" s="16" t="s">
        <v>60</v>
      </c>
      <c r="K424" s="16" t="s">
        <v>20</v>
      </c>
      <c r="L424" s="16" t="s">
        <v>20</v>
      </c>
      <c r="O424"/>
      <c r="P424"/>
    </row>
    <row r="425" spans="1:16" x14ac:dyDescent="0.25">
      <c r="A425" s="16" t="s">
        <v>506</v>
      </c>
      <c r="B425" s="13">
        <v>45684</v>
      </c>
      <c r="D425" s="16" t="s">
        <v>49</v>
      </c>
      <c r="E425" s="16" t="s">
        <v>76</v>
      </c>
      <c r="F425" s="16" t="s">
        <v>54</v>
      </c>
      <c r="G425" s="16" t="s">
        <v>31</v>
      </c>
      <c r="H425" s="16" t="s">
        <v>106</v>
      </c>
      <c r="I425" s="16" t="s">
        <v>52</v>
      </c>
      <c r="J425" s="16" t="s">
        <v>18</v>
      </c>
      <c r="K425" s="16" t="s">
        <v>19</v>
      </c>
      <c r="L425" s="16" t="s">
        <v>19</v>
      </c>
      <c r="O425"/>
      <c r="P425"/>
    </row>
    <row r="426" spans="1:16" x14ac:dyDescent="0.25">
      <c r="A426" s="16" t="s">
        <v>507</v>
      </c>
      <c r="B426" s="13">
        <v>45895</v>
      </c>
      <c r="C426" s="13">
        <v>45896</v>
      </c>
      <c r="D426" s="16" t="s">
        <v>28</v>
      </c>
      <c r="E426" s="16" t="s">
        <v>14</v>
      </c>
      <c r="F426" s="16" t="s">
        <v>15</v>
      </c>
      <c r="G426" s="16" t="s">
        <v>16</v>
      </c>
      <c r="H426" s="16" t="s">
        <v>134</v>
      </c>
      <c r="I426" s="16" t="s">
        <v>47</v>
      </c>
      <c r="J426" s="16" t="s">
        <v>34</v>
      </c>
      <c r="K426" s="16" t="s">
        <v>20</v>
      </c>
      <c r="L426" s="16" t="s">
        <v>20</v>
      </c>
      <c r="O426"/>
      <c r="P426"/>
    </row>
    <row r="427" spans="1:16" x14ac:dyDescent="0.25">
      <c r="A427" s="16" t="s">
        <v>508</v>
      </c>
      <c r="B427" s="13">
        <v>46017</v>
      </c>
      <c r="C427" s="13">
        <v>46017</v>
      </c>
      <c r="D427" s="16" t="s">
        <v>28</v>
      </c>
      <c r="E427" s="16" t="s">
        <v>29</v>
      </c>
      <c r="F427" s="16" t="s">
        <v>66</v>
      </c>
      <c r="G427" s="16" t="s">
        <v>16</v>
      </c>
      <c r="H427" s="16" t="s">
        <v>128</v>
      </c>
      <c r="I427" s="16" t="s">
        <v>47</v>
      </c>
      <c r="J427" s="16" t="s">
        <v>34</v>
      </c>
      <c r="K427" s="16" t="s">
        <v>19</v>
      </c>
      <c r="L427" s="16" t="s">
        <v>39</v>
      </c>
      <c r="O427"/>
      <c r="P427"/>
    </row>
    <row r="428" spans="1:16" x14ac:dyDescent="0.25">
      <c r="A428" s="16" t="s">
        <v>509</v>
      </c>
      <c r="B428" s="13">
        <v>45964</v>
      </c>
      <c r="C428" s="13">
        <v>45964</v>
      </c>
      <c r="D428" s="16" t="s">
        <v>49</v>
      </c>
      <c r="E428" s="16" t="s">
        <v>14</v>
      </c>
      <c r="F428" s="16" t="s">
        <v>30</v>
      </c>
      <c r="G428" s="16" t="s">
        <v>55</v>
      </c>
      <c r="H428" s="16" t="s">
        <v>128</v>
      </c>
      <c r="I428" s="16" t="s">
        <v>38</v>
      </c>
      <c r="J428" s="16" t="s">
        <v>60</v>
      </c>
      <c r="K428" s="16" t="s">
        <v>39</v>
      </c>
      <c r="L428" s="16" t="s">
        <v>20</v>
      </c>
      <c r="O428"/>
      <c r="P428"/>
    </row>
    <row r="429" spans="1:16" x14ac:dyDescent="0.25">
      <c r="A429" s="16" t="s">
        <v>510</v>
      </c>
      <c r="B429" s="12">
        <v>45923</v>
      </c>
      <c r="C429" s="13">
        <v>45925</v>
      </c>
      <c r="D429" s="16" t="s">
        <v>49</v>
      </c>
      <c r="E429" s="16" t="s">
        <v>14</v>
      </c>
      <c r="F429" s="16" t="s">
        <v>22</v>
      </c>
      <c r="G429" s="16" t="s">
        <v>55</v>
      </c>
      <c r="H429" s="16" t="s">
        <v>32</v>
      </c>
      <c r="I429" s="16" t="s">
        <v>17</v>
      </c>
      <c r="J429" s="16" t="s">
        <v>34</v>
      </c>
      <c r="K429" s="16" t="s">
        <v>19</v>
      </c>
      <c r="L429" s="16" t="s">
        <v>20</v>
      </c>
      <c r="O429"/>
      <c r="P429"/>
    </row>
    <row r="430" spans="1:16" x14ac:dyDescent="0.25">
      <c r="A430" s="16" t="s">
        <v>511</v>
      </c>
      <c r="B430" s="13">
        <v>45976</v>
      </c>
      <c r="C430" s="13">
        <v>45978</v>
      </c>
      <c r="D430" s="16" t="s">
        <v>49</v>
      </c>
      <c r="E430" s="16" t="s">
        <v>29</v>
      </c>
      <c r="F430" s="16" t="s">
        <v>50</v>
      </c>
      <c r="G430" s="16" t="s">
        <v>23</v>
      </c>
      <c r="H430" s="16" t="s">
        <v>32</v>
      </c>
      <c r="I430" s="16" t="s">
        <v>38</v>
      </c>
      <c r="J430" s="16" t="s">
        <v>34</v>
      </c>
      <c r="K430" s="16" t="s">
        <v>20</v>
      </c>
      <c r="L430" s="16" t="s">
        <v>20</v>
      </c>
      <c r="O430"/>
      <c r="P430"/>
    </row>
    <row r="431" spans="1:16" x14ac:dyDescent="0.25">
      <c r="A431" s="16" t="s">
        <v>512</v>
      </c>
      <c r="B431" s="13">
        <v>45967</v>
      </c>
      <c r="D431" s="16" t="s">
        <v>28</v>
      </c>
      <c r="E431" s="16" t="s">
        <v>58</v>
      </c>
      <c r="F431" s="16" t="s">
        <v>54</v>
      </c>
      <c r="G431" s="16" t="s">
        <v>23</v>
      </c>
      <c r="H431" s="16" t="s">
        <v>59</v>
      </c>
      <c r="I431" s="16" t="s">
        <v>38</v>
      </c>
      <c r="J431" s="16" t="s">
        <v>34</v>
      </c>
      <c r="K431" s="16" t="s">
        <v>20</v>
      </c>
      <c r="L431" s="16" t="s">
        <v>39</v>
      </c>
      <c r="O431"/>
      <c r="P431"/>
    </row>
    <row r="432" spans="1:16" x14ac:dyDescent="0.25">
      <c r="A432" s="16" t="s">
        <v>513</v>
      </c>
      <c r="B432" s="12">
        <v>45721</v>
      </c>
      <c r="D432" s="16" t="s">
        <v>13</v>
      </c>
      <c r="E432" s="16" t="s">
        <v>58</v>
      </c>
      <c r="F432" s="16" t="s">
        <v>41</v>
      </c>
      <c r="G432" s="16" t="s">
        <v>23</v>
      </c>
      <c r="H432" s="16" t="s">
        <v>73</v>
      </c>
      <c r="I432" s="16" t="s">
        <v>17</v>
      </c>
      <c r="J432" s="16" t="s">
        <v>26</v>
      </c>
      <c r="K432" s="16" t="s">
        <v>19</v>
      </c>
      <c r="L432" s="16" t="s">
        <v>19</v>
      </c>
      <c r="O432"/>
      <c r="P432"/>
    </row>
    <row r="433" spans="1:16" x14ac:dyDescent="0.25">
      <c r="A433" s="16" t="s">
        <v>514</v>
      </c>
      <c r="B433" s="13">
        <v>45930</v>
      </c>
      <c r="C433" s="13">
        <v>45940</v>
      </c>
      <c r="D433" s="16" t="s">
        <v>13</v>
      </c>
      <c r="E433" s="16" t="s">
        <v>88</v>
      </c>
      <c r="F433" s="16" t="s">
        <v>66</v>
      </c>
      <c r="G433" s="16" t="s">
        <v>23</v>
      </c>
      <c r="H433" s="16" t="s">
        <v>59</v>
      </c>
      <c r="I433" s="16" t="s">
        <v>52</v>
      </c>
      <c r="J433" s="16" t="s">
        <v>18</v>
      </c>
      <c r="K433" s="16" t="s">
        <v>39</v>
      </c>
      <c r="L433" s="16" t="s">
        <v>20</v>
      </c>
      <c r="O433"/>
      <c r="P433"/>
    </row>
    <row r="434" spans="1:16" x14ac:dyDescent="0.25">
      <c r="A434" s="16" t="s">
        <v>515</v>
      </c>
      <c r="B434" s="12">
        <v>45897</v>
      </c>
      <c r="C434" s="13">
        <v>45899</v>
      </c>
      <c r="D434" s="16" t="s">
        <v>49</v>
      </c>
      <c r="E434" s="16" t="s">
        <v>29</v>
      </c>
      <c r="F434" s="16" t="s">
        <v>30</v>
      </c>
      <c r="G434" s="16" t="s">
        <v>23</v>
      </c>
      <c r="H434" s="16" t="s">
        <v>56</v>
      </c>
      <c r="I434" s="16" t="s">
        <v>25</v>
      </c>
      <c r="J434" s="16" t="s">
        <v>34</v>
      </c>
      <c r="K434" s="16" t="s">
        <v>19</v>
      </c>
      <c r="L434" s="16" t="s">
        <v>39</v>
      </c>
      <c r="O434"/>
      <c r="P434"/>
    </row>
    <row r="435" spans="1:16" x14ac:dyDescent="0.25">
      <c r="A435" s="16" t="s">
        <v>516</v>
      </c>
      <c r="B435" s="12">
        <v>45804</v>
      </c>
      <c r="C435" s="13">
        <v>45805</v>
      </c>
      <c r="D435" s="16" t="s">
        <v>28</v>
      </c>
      <c r="E435" s="16" t="s">
        <v>29</v>
      </c>
      <c r="F435" s="16" t="s">
        <v>66</v>
      </c>
      <c r="G435" s="16" t="s">
        <v>55</v>
      </c>
      <c r="H435" s="16" t="s">
        <v>136</v>
      </c>
      <c r="I435" s="16" t="s">
        <v>52</v>
      </c>
      <c r="J435" s="16" t="s">
        <v>18</v>
      </c>
      <c r="K435" s="16" t="s">
        <v>19</v>
      </c>
      <c r="L435" s="16" t="s">
        <v>19</v>
      </c>
      <c r="O435"/>
      <c r="P435"/>
    </row>
    <row r="436" spans="1:16" x14ac:dyDescent="0.25">
      <c r="A436" s="16" t="s">
        <v>517</v>
      </c>
      <c r="B436" s="12">
        <v>45783</v>
      </c>
      <c r="C436" s="13">
        <v>45784</v>
      </c>
      <c r="D436" s="16" t="s">
        <v>28</v>
      </c>
      <c r="E436" s="16" t="s">
        <v>14</v>
      </c>
      <c r="F436" s="16" t="s">
        <v>30</v>
      </c>
      <c r="G436" s="16" t="s">
        <v>55</v>
      </c>
      <c r="H436" s="16" t="s">
        <v>43</v>
      </c>
      <c r="I436" s="16" t="s">
        <v>69</v>
      </c>
      <c r="J436" s="16" t="s">
        <v>34</v>
      </c>
      <c r="K436" s="16" t="s">
        <v>19</v>
      </c>
      <c r="L436" s="16" t="s">
        <v>39</v>
      </c>
      <c r="O436"/>
      <c r="P436"/>
    </row>
    <row r="437" spans="1:16" x14ac:dyDescent="0.25">
      <c r="A437" s="16" t="s">
        <v>518</v>
      </c>
      <c r="B437" s="13">
        <v>45905</v>
      </c>
      <c r="C437" s="13">
        <v>45905</v>
      </c>
      <c r="D437" s="16" t="s">
        <v>28</v>
      </c>
      <c r="E437" s="16" t="s">
        <v>29</v>
      </c>
      <c r="F437" s="16" t="s">
        <v>36</v>
      </c>
      <c r="G437" s="16" t="s">
        <v>55</v>
      </c>
      <c r="H437" s="16" t="s">
        <v>37</v>
      </c>
      <c r="I437" s="16" t="s">
        <v>25</v>
      </c>
      <c r="J437" s="16" t="s">
        <v>26</v>
      </c>
      <c r="K437" s="16" t="s">
        <v>19</v>
      </c>
      <c r="L437" s="16" t="s">
        <v>39</v>
      </c>
      <c r="O437"/>
      <c r="P437"/>
    </row>
    <row r="438" spans="1:16" x14ac:dyDescent="0.25">
      <c r="A438" s="16" t="s">
        <v>519</v>
      </c>
      <c r="B438" s="13">
        <v>45662</v>
      </c>
      <c r="D438" s="16" t="s">
        <v>45</v>
      </c>
      <c r="E438" s="16" t="s">
        <v>76</v>
      </c>
      <c r="F438" s="16" t="s">
        <v>305</v>
      </c>
      <c r="G438" s="16" t="s">
        <v>23</v>
      </c>
      <c r="H438" s="16" t="s">
        <v>43</v>
      </c>
      <c r="I438" s="16" t="s">
        <v>38</v>
      </c>
      <c r="J438" s="16" t="s">
        <v>34</v>
      </c>
      <c r="K438" s="16" t="s">
        <v>19</v>
      </c>
      <c r="L438" s="16" t="s">
        <v>20</v>
      </c>
      <c r="O438"/>
      <c r="P438"/>
    </row>
    <row r="439" spans="1:16" x14ac:dyDescent="0.25">
      <c r="A439" s="16" t="s">
        <v>520</v>
      </c>
      <c r="B439" s="13">
        <v>45882</v>
      </c>
      <c r="C439" s="13">
        <v>45883</v>
      </c>
      <c r="D439" s="16" t="s">
        <v>13</v>
      </c>
      <c r="E439" s="16" t="s">
        <v>14</v>
      </c>
      <c r="F439" s="16" t="s">
        <v>30</v>
      </c>
      <c r="G439" s="16" t="s">
        <v>23</v>
      </c>
      <c r="H439" s="16" t="s">
        <v>79</v>
      </c>
      <c r="I439" s="16" t="s">
        <v>52</v>
      </c>
      <c r="J439" s="16" t="s">
        <v>26</v>
      </c>
      <c r="K439" s="16" t="s">
        <v>39</v>
      </c>
      <c r="L439" s="16" t="s">
        <v>20</v>
      </c>
      <c r="O439"/>
      <c r="P439"/>
    </row>
    <row r="440" spans="1:16" x14ac:dyDescent="0.25">
      <c r="A440" s="16" t="s">
        <v>521</v>
      </c>
      <c r="B440" s="12">
        <v>45911</v>
      </c>
      <c r="C440" s="13">
        <v>45912</v>
      </c>
      <c r="D440" s="16" t="s">
        <v>45</v>
      </c>
      <c r="E440" s="16" t="s">
        <v>14</v>
      </c>
      <c r="F440" s="16" t="s">
        <v>54</v>
      </c>
      <c r="G440" s="16" t="s">
        <v>23</v>
      </c>
      <c r="H440" s="16" t="s">
        <v>59</v>
      </c>
      <c r="I440" s="16" t="s">
        <v>38</v>
      </c>
      <c r="J440" s="16" t="s">
        <v>60</v>
      </c>
      <c r="K440" s="16" t="s">
        <v>20</v>
      </c>
      <c r="L440" s="16" t="s">
        <v>20</v>
      </c>
      <c r="O440"/>
      <c r="P440"/>
    </row>
    <row r="441" spans="1:16" x14ac:dyDescent="0.25">
      <c r="A441" s="16" t="s">
        <v>522</v>
      </c>
      <c r="B441" s="12">
        <v>45906</v>
      </c>
      <c r="D441" s="16" t="s">
        <v>28</v>
      </c>
      <c r="E441" s="16" t="s">
        <v>76</v>
      </c>
      <c r="F441" s="16" t="s">
        <v>66</v>
      </c>
      <c r="G441" s="16" t="s">
        <v>31</v>
      </c>
      <c r="H441" s="16" t="s">
        <v>77</v>
      </c>
      <c r="I441" s="16" t="s">
        <v>52</v>
      </c>
      <c r="J441" s="16" t="s">
        <v>34</v>
      </c>
      <c r="K441" s="16" t="s">
        <v>39</v>
      </c>
      <c r="L441" s="16" t="s">
        <v>19</v>
      </c>
      <c r="O441"/>
      <c r="P441"/>
    </row>
    <row r="442" spans="1:16" x14ac:dyDescent="0.25">
      <c r="A442" s="16" t="s">
        <v>523</v>
      </c>
      <c r="B442" s="13">
        <v>45734</v>
      </c>
      <c r="D442" s="16" t="s">
        <v>49</v>
      </c>
      <c r="E442" s="16" t="s">
        <v>58</v>
      </c>
      <c r="F442" s="16" t="s">
        <v>30</v>
      </c>
      <c r="G442" s="16" t="s">
        <v>55</v>
      </c>
      <c r="H442" s="16" t="s">
        <v>128</v>
      </c>
      <c r="I442" s="16" t="s">
        <v>17</v>
      </c>
      <c r="J442" s="16" t="s">
        <v>26</v>
      </c>
      <c r="K442" s="16" t="s">
        <v>20</v>
      </c>
      <c r="L442" s="16" t="s">
        <v>20</v>
      </c>
      <c r="O442"/>
      <c r="P442"/>
    </row>
    <row r="443" spans="1:16" x14ac:dyDescent="0.25">
      <c r="A443" s="16" t="s">
        <v>524</v>
      </c>
      <c r="B443" s="13">
        <v>45876</v>
      </c>
      <c r="C443" s="13">
        <v>45877</v>
      </c>
      <c r="D443" s="16" t="s">
        <v>28</v>
      </c>
      <c r="E443" s="16" t="s">
        <v>14</v>
      </c>
      <c r="F443" s="16" t="s">
        <v>30</v>
      </c>
      <c r="G443" s="16" t="s">
        <v>23</v>
      </c>
      <c r="H443" s="16" t="s">
        <v>151</v>
      </c>
      <c r="I443" s="16" t="s">
        <v>38</v>
      </c>
      <c r="J443" s="16" t="s">
        <v>34</v>
      </c>
      <c r="K443" s="16" t="s">
        <v>20</v>
      </c>
      <c r="L443" s="16" t="s">
        <v>20</v>
      </c>
      <c r="O443"/>
      <c r="P443"/>
    </row>
    <row r="444" spans="1:16" x14ac:dyDescent="0.25">
      <c r="A444" s="16" t="s">
        <v>525</v>
      </c>
      <c r="B444" s="13">
        <v>45813</v>
      </c>
      <c r="D444" s="16" t="s">
        <v>49</v>
      </c>
      <c r="E444" s="16" t="s">
        <v>76</v>
      </c>
      <c r="F444" s="16" t="s">
        <v>66</v>
      </c>
      <c r="G444" s="16" t="s">
        <v>16</v>
      </c>
      <c r="H444" s="16" t="s">
        <v>59</v>
      </c>
      <c r="I444" s="16" t="s">
        <v>33</v>
      </c>
      <c r="J444" s="16" t="s">
        <v>18</v>
      </c>
      <c r="K444" s="16" t="s">
        <v>39</v>
      </c>
      <c r="L444" s="16" t="s">
        <v>39</v>
      </c>
      <c r="O444"/>
      <c r="P444"/>
    </row>
    <row r="445" spans="1:16" x14ac:dyDescent="0.25">
      <c r="A445" s="16" t="s">
        <v>526</v>
      </c>
      <c r="B445" s="13">
        <v>45966</v>
      </c>
      <c r="D445" s="16" t="s">
        <v>49</v>
      </c>
      <c r="E445" s="16" t="s">
        <v>58</v>
      </c>
      <c r="F445" s="16" t="s">
        <v>30</v>
      </c>
      <c r="G445" s="16" t="s">
        <v>16</v>
      </c>
      <c r="H445" s="16" t="s">
        <v>151</v>
      </c>
      <c r="I445" s="16" t="s">
        <v>33</v>
      </c>
      <c r="J445" s="16" t="s">
        <v>34</v>
      </c>
      <c r="K445" s="16" t="s">
        <v>39</v>
      </c>
      <c r="L445" s="16" t="s">
        <v>39</v>
      </c>
      <c r="O445"/>
      <c r="P445"/>
    </row>
    <row r="446" spans="1:16" x14ac:dyDescent="0.25">
      <c r="A446" s="16" t="s">
        <v>527</v>
      </c>
      <c r="B446" s="13">
        <v>45939</v>
      </c>
      <c r="C446" s="13">
        <v>45939</v>
      </c>
      <c r="D446" s="16" t="s">
        <v>28</v>
      </c>
      <c r="E446" s="16" t="s">
        <v>14</v>
      </c>
      <c r="F446" s="16" t="s">
        <v>15</v>
      </c>
      <c r="G446" s="16" t="s">
        <v>31</v>
      </c>
      <c r="H446" s="16" t="s">
        <v>110</v>
      </c>
      <c r="I446" s="16" t="s">
        <v>47</v>
      </c>
      <c r="J446" s="16" t="s">
        <v>34</v>
      </c>
      <c r="K446" s="16" t="s">
        <v>19</v>
      </c>
      <c r="L446" s="16" t="s">
        <v>20</v>
      </c>
      <c r="O446"/>
      <c r="P446"/>
    </row>
    <row r="447" spans="1:16" x14ac:dyDescent="0.25">
      <c r="A447" s="16" t="s">
        <v>528</v>
      </c>
      <c r="B447" s="13">
        <v>45930</v>
      </c>
      <c r="C447" s="13">
        <v>45935</v>
      </c>
      <c r="D447" s="16" t="s">
        <v>45</v>
      </c>
      <c r="E447" s="16" t="s">
        <v>14</v>
      </c>
      <c r="F447" s="16" t="s">
        <v>210</v>
      </c>
      <c r="G447" s="16" t="s">
        <v>16</v>
      </c>
      <c r="H447" s="16" t="s">
        <v>128</v>
      </c>
      <c r="I447" s="16" t="s">
        <v>69</v>
      </c>
      <c r="J447" s="16" t="s">
        <v>34</v>
      </c>
      <c r="K447" s="16" t="s">
        <v>20</v>
      </c>
      <c r="L447" s="16" t="s">
        <v>19</v>
      </c>
      <c r="O447"/>
      <c r="P447"/>
    </row>
    <row r="448" spans="1:16" x14ac:dyDescent="0.25">
      <c r="A448" s="16" t="s">
        <v>529</v>
      </c>
      <c r="B448" s="13">
        <v>45718</v>
      </c>
      <c r="D448" s="16" t="s">
        <v>49</v>
      </c>
      <c r="E448" s="16" t="s">
        <v>58</v>
      </c>
      <c r="F448" s="16" t="s">
        <v>36</v>
      </c>
      <c r="G448" s="16" t="s">
        <v>55</v>
      </c>
      <c r="H448" s="16" t="s">
        <v>59</v>
      </c>
      <c r="I448" s="16" t="s">
        <v>33</v>
      </c>
      <c r="J448" s="16" t="s">
        <v>60</v>
      </c>
      <c r="K448" s="16" t="s">
        <v>39</v>
      </c>
      <c r="L448" s="16" t="s">
        <v>19</v>
      </c>
      <c r="O448"/>
      <c r="P448"/>
    </row>
    <row r="449" spans="1:16" x14ac:dyDescent="0.25">
      <c r="A449" s="16" t="s">
        <v>530</v>
      </c>
      <c r="B449" s="13">
        <v>45967</v>
      </c>
      <c r="C449" s="13">
        <v>45971</v>
      </c>
      <c r="D449" s="16" t="s">
        <v>45</v>
      </c>
      <c r="E449" s="16" t="s">
        <v>14</v>
      </c>
      <c r="F449" s="16" t="s">
        <v>54</v>
      </c>
      <c r="G449" s="16" t="s">
        <v>55</v>
      </c>
      <c r="H449" s="16" t="s">
        <v>59</v>
      </c>
      <c r="I449" s="16" t="s">
        <v>17</v>
      </c>
      <c r="J449" s="16" t="s">
        <v>26</v>
      </c>
      <c r="K449" s="16" t="s">
        <v>39</v>
      </c>
      <c r="L449" s="16" t="s">
        <v>19</v>
      </c>
      <c r="O449"/>
      <c r="P449"/>
    </row>
    <row r="450" spans="1:16" x14ac:dyDescent="0.25">
      <c r="A450" s="16" t="s">
        <v>531</v>
      </c>
      <c r="B450" s="13">
        <v>45956</v>
      </c>
      <c r="D450" s="16" t="s">
        <v>13</v>
      </c>
      <c r="E450" s="16" t="s">
        <v>76</v>
      </c>
      <c r="F450" s="16" t="s">
        <v>50</v>
      </c>
      <c r="G450" s="16" t="s">
        <v>31</v>
      </c>
      <c r="H450" s="16" t="s">
        <v>32</v>
      </c>
      <c r="I450" s="16" t="s">
        <v>17</v>
      </c>
      <c r="J450" s="16" t="s">
        <v>18</v>
      </c>
      <c r="K450" s="16" t="s">
        <v>39</v>
      </c>
      <c r="L450" s="16" t="s">
        <v>19</v>
      </c>
      <c r="O450"/>
      <c r="P450"/>
    </row>
    <row r="451" spans="1:16" x14ac:dyDescent="0.25">
      <c r="A451" s="16" t="s">
        <v>532</v>
      </c>
      <c r="B451" s="13">
        <v>45846</v>
      </c>
      <c r="D451" s="16" t="s">
        <v>49</v>
      </c>
      <c r="E451" s="16" t="s">
        <v>58</v>
      </c>
      <c r="F451" s="16" t="s">
        <v>41</v>
      </c>
      <c r="G451" s="16" t="s">
        <v>31</v>
      </c>
      <c r="H451" s="16" t="s">
        <v>95</v>
      </c>
      <c r="I451" s="16" t="s">
        <v>47</v>
      </c>
      <c r="J451" s="16" t="s">
        <v>18</v>
      </c>
      <c r="K451" s="16" t="s">
        <v>19</v>
      </c>
      <c r="L451" s="16" t="s">
        <v>19</v>
      </c>
      <c r="O451"/>
      <c r="P451"/>
    </row>
    <row r="452" spans="1:16" x14ac:dyDescent="0.25">
      <c r="A452" s="16" t="s">
        <v>533</v>
      </c>
      <c r="B452" s="12">
        <v>45731</v>
      </c>
      <c r="D452" s="16" t="s">
        <v>28</v>
      </c>
      <c r="E452" s="16" t="s">
        <v>76</v>
      </c>
      <c r="F452" s="16" t="s">
        <v>54</v>
      </c>
      <c r="G452" s="16" t="s">
        <v>16</v>
      </c>
      <c r="H452" s="16" t="s">
        <v>43</v>
      </c>
      <c r="I452" s="16" t="s">
        <v>47</v>
      </c>
      <c r="J452" s="16" t="s">
        <v>60</v>
      </c>
      <c r="K452" s="16" t="s">
        <v>39</v>
      </c>
      <c r="L452" s="16" t="s">
        <v>39</v>
      </c>
      <c r="O452"/>
      <c r="P452"/>
    </row>
    <row r="453" spans="1:16" x14ac:dyDescent="0.25">
      <c r="A453" s="16" t="s">
        <v>534</v>
      </c>
      <c r="B453" s="13">
        <v>45795</v>
      </c>
      <c r="D453" s="16" t="s">
        <v>13</v>
      </c>
      <c r="E453" s="16" t="s">
        <v>195</v>
      </c>
      <c r="F453" s="16" t="s">
        <v>36</v>
      </c>
      <c r="G453" s="16" t="s">
        <v>55</v>
      </c>
      <c r="H453" s="16" t="s">
        <v>151</v>
      </c>
      <c r="I453" s="16" t="s">
        <v>47</v>
      </c>
      <c r="J453" s="16" t="s">
        <v>34</v>
      </c>
      <c r="K453" s="16" t="s">
        <v>20</v>
      </c>
      <c r="L453" s="16" t="s">
        <v>20</v>
      </c>
      <c r="O453"/>
      <c r="P453"/>
    </row>
    <row r="454" spans="1:16" x14ac:dyDescent="0.25">
      <c r="A454" s="16" t="s">
        <v>535</v>
      </c>
      <c r="B454" s="12">
        <v>45782</v>
      </c>
      <c r="D454" s="16" t="s">
        <v>13</v>
      </c>
      <c r="E454" s="16" t="s">
        <v>76</v>
      </c>
      <c r="F454" s="16" t="s">
        <v>103</v>
      </c>
      <c r="G454" s="16" t="s">
        <v>42</v>
      </c>
      <c r="H454" s="16" t="s">
        <v>59</v>
      </c>
      <c r="I454" s="16" t="s">
        <v>38</v>
      </c>
      <c r="J454" s="16" t="s">
        <v>34</v>
      </c>
      <c r="K454" s="16" t="s">
        <v>20</v>
      </c>
      <c r="L454" s="16" t="s">
        <v>19</v>
      </c>
      <c r="O454"/>
      <c r="P454"/>
    </row>
    <row r="455" spans="1:16" x14ac:dyDescent="0.25">
      <c r="A455" s="16" t="s">
        <v>536</v>
      </c>
      <c r="B455" s="12">
        <v>46008</v>
      </c>
      <c r="C455" s="13">
        <v>46013</v>
      </c>
      <c r="D455" s="16" t="s">
        <v>13</v>
      </c>
      <c r="E455" s="16" t="s">
        <v>29</v>
      </c>
      <c r="F455" s="16" t="s">
        <v>50</v>
      </c>
      <c r="G455" s="16" t="s">
        <v>55</v>
      </c>
      <c r="H455" s="16" t="s">
        <v>136</v>
      </c>
      <c r="I455" s="16" t="s">
        <v>33</v>
      </c>
      <c r="J455" s="16" t="s">
        <v>26</v>
      </c>
      <c r="K455" s="16" t="s">
        <v>19</v>
      </c>
      <c r="L455" s="16" t="s">
        <v>39</v>
      </c>
      <c r="O455"/>
      <c r="P455"/>
    </row>
    <row r="456" spans="1:16" x14ac:dyDescent="0.25">
      <c r="A456" s="16" t="s">
        <v>537</v>
      </c>
      <c r="B456" s="13">
        <v>45734</v>
      </c>
      <c r="C456" s="13">
        <v>45736</v>
      </c>
      <c r="D456" s="16" t="s">
        <v>49</v>
      </c>
      <c r="E456" s="16" t="s">
        <v>14</v>
      </c>
      <c r="F456" s="16" t="s">
        <v>41</v>
      </c>
      <c r="G456" s="16" t="s">
        <v>55</v>
      </c>
      <c r="H456" s="16" t="s">
        <v>110</v>
      </c>
      <c r="I456" s="16" t="s">
        <v>69</v>
      </c>
      <c r="J456" s="16" t="s">
        <v>34</v>
      </c>
      <c r="K456" s="16" t="s">
        <v>20</v>
      </c>
      <c r="L456" s="16" t="s">
        <v>20</v>
      </c>
      <c r="O456"/>
      <c r="P456"/>
    </row>
    <row r="457" spans="1:16" x14ac:dyDescent="0.25">
      <c r="A457" s="16" t="s">
        <v>538</v>
      </c>
      <c r="B457" s="12">
        <v>45902</v>
      </c>
      <c r="C457" s="13">
        <v>45903</v>
      </c>
      <c r="D457" s="16" t="s">
        <v>49</v>
      </c>
      <c r="E457" s="16" t="s">
        <v>14</v>
      </c>
      <c r="F457" s="16" t="s">
        <v>66</v>
      </c>
      <c r="G457" s="16" t="s">
        <v>42</v>
      </c>
      <c r="H457" s="16" t="s">
        <v>37</v>
      </c>
      <c r="I457" s="16" t="s">
        <v>38</v>
      </c>
      <c r="J457" s="16" t="s">
        <v>18</v>
      </c>
      <c r="K457" s="16" t="s">
        <v>19</v>
      </c>
      <c r="L457" s="16" t="s">
        <v>20</v>
      </c>
      <c r="O457"/>
      <c r="P457"/>
    </row>
    <row r="458" spans="1:16" x14ac:dyDescent="0.25">
      <c r="A458" s="16" t="s">
        <v>539</v>
      </c>
      <c r="B458" s="13">
        <v>45910</v>
      </c>
      <c r="C458" s="13">
        <v>45911</v>
      </c>
      <c r="D458" s="16" t="s">
        <v>28</v>
      </c>
      <c r="E458" s="16" t="s">
        <v>29</v>
      </c>
      <c r="F458" s="16" t="s">
        <v>144</v>
      </c>
      <c r="G458" s="16" t="s">
        <v>55</v>
      </c>
      <c r="H458" s="16" t="s">
        <v>151</v>
      </c>
      <c r="I458" s="16" t="s">
        <v>25</v>
      </c>
      <c r="J458" s="16" t="s">
        <v>26</v>
      </c>
      <c r="K458" s="16" t="s">
        <v>20</v>
      </c>
      <c r="L458" s="16" t="s">
        <v>39</v>
      </c>
      <c r="O458"/>
      <c r="P458"/>
    </row>
    <row r="459" spans="1:16" x14ac:dyDescent="0.25">
      <c r="A459" s="16" t="s">
        <v>540</v>
      </c>
      <c r="B459" s="13">
        <v>45731</v>
      </c>
      <c r="C459" s="13">
        <v>45734</v>
      </c>
      <c r="D459" s="16" t="s">
        <v>49</v>
      </c>
      <c r="E459" s="16" t="s">
        <v>14</v>
      </c>
      <c r="F459" s="16" t="s">
        <v>297</v>
      </c>
      <c r="G459" s="16" t="s">
        <v>55</v>
      </c>
      <c r="H459" s="16" t="s">
        <v>56</v>
      </c>
      <c r="I459" s="16" t="s">
        <v>25</v>
      </c>
      <c r="J459" s="16" t="s">
        <v>34</v>
      </c>
      <c r="K459" s="16" t="s">
        <v>20</v>
      </c>
      <c r="L459" s="16" t="s">
        <v>39</v>
      </c>
      <c r="O459"/>
      <c r="P459"/>
    </row>
    <row r="460" spans="1:16" x14ac:dyDescent="0.25">
      <c r="A460" s="16" t="s">
        <v>541</v>
      </c>
      <c r="B460" s="13">
        <v>45697</v>
      </c>
      <c r="D460" s="16" t="s">
        <v>28</v>
      </c>
      <c r="E460" s="16" t="s">
        <v>76</v>
      </c>
      <c r="F460" s="16" t="s">
        <v>66</v>
      </c>
      <c r="G460" s="16" t="s">
        <v>42</v>
      </c>
      <c r="H460" s="16" t="s">
        <v>37</v>
      </c>
      <c r="I460" s="16" t="s">
        <v>69</v>
      </c>
      <c r="J460" s="16" t="s">
        <v>60</v>
      </c>
      <c r="K460" s="16" t="s">
        <v>39</v>
      </c>
      <c r="L460" s="16" t="s">
        <v>39</v>
      </c>
      <c r="O460"/>
      <c r="P460"/>
    </row>
    <row r="461" spans="1:16" x14ac:dyDescent="0.25">
      <c r="A461" s="16" t="s">
        <v>542</v>
      </c>
      <c r="B461" s="13">
        <v>45674</v>
      </c>
      <c r="C461" s="13">
        <v>45675</v>
      </c>
      <c r="D461" s="16" t="s">
        <v>28</v>
      </c>
      <c r="E461" s="16" t="s">
        <v>14</v>
      </c>
      <c r="F461" s="16" t="s">
        <v>41</v>
      </c>
      <c r="G461" s="16" t="s">
        <v>31</v>
      </c>
      <c r="H461" s="16" t="s">
        <v>79</v>
      </c>
      <c r="I461" s="16" t="s">
        <v>33</v>
      </c>
      <c r="J461" s="16" t="s">
        <v>18</v>
      </c>
      <c r="K461" s="16" t="s">
        <v>39</v>
      </c>
      <c r="L461" s="16" t="s">
        <v>19</v>
      </c>
      <c r="O461"/>
      <c r="P461"/>
    </row>
    <row r="462" spans="1:16" x14ac:dyDescent="0.25">
      <c r="A462" s="16" t="s">
        <v>543</v>
      </c>
      <c r="B462" s="13">
        <v>45974</v>
      </c>
      <c r="D462" s="16" t="s">
        <v>49</v>
      </c>
      <c r="E462" s="16" t="s">
        <v>76</v>
      </c>
      <c r="F462" s="16" t="s">
        <v>15</v>
      </c>
      <c r="G462" s="16" t="s">
        <v>42</v>
      </c>
      <c r="H462" s="16" t="s">
        <v>92</v>
      </c>
      <c r="I462" s="16" t="s">
        <v>69</v>
      </c>
      <c r="J462" s="16" t="s">
        <v>60</v>
      </c>
      <c r="K462" s="16" t="s">
        <v>39</v>
      </c>
      <c r="L462" s="16" t="s">
        <v>39</v>
      </c>
      <c r="O462"/>
      <c r="P462"/>
    </row>
    <row r="463" spans="1:16" x14ac:dyDescent="0.25">
      <c r="A463" s="16" t="s">
        <v>544</v>
      </c>
      <c r="B463" s="13">
        <v>45829</v>
      </c>
      <c r="D463" s="16" t="s">
        <v>28</v>
      </c>
      <c r="E463" s="16" t="s">
        <v>76</v>
      </c>
      <c r="F463" s="16" t="s">
        <v>545</v>
      </c>
      <c r="G463" s="16" t="s">
        <v>31</v>
      </c>
      <c r="H463" s="16" t="s">
        <v>73</v>
      </c>
      <c r="I463" s="16" t="s">
        <v>33</v>
      </c>
      <c r="J463" s="16" t="s">
        <v>60</v>
      </c>
      <c r="K463" s="16" t="s">
        <v>19</v>
      </c>
      <c r="L463" s="16" t="s">
        <v>20</v>
      </c>
      <c r="O463"/>
      <c r="P463"/>
    </row>
    <row r="464" spans="1:16" x14ac:dyDescent="0.25">
      <c r="A464" s="16" t="s">
        <v>546</v>
      </c>
      <c r="B464" s="13">
        <v>45819</v>
      </c>
      <c r="D464" s="16" t="s">
        <v>28</v>
      </c>
      <c r="E464" s="16" t="s">
        <v>76</v>
      </c>
      <c r="F464" s="16" t="s">
        <v>50</v>
      </c>
      <c r="G464" s="16" t="s">
        <v>23</v>
      </c>
      <c r="H464" s="16" t="s">
        <v>46</v>
      </c>
      <c r="I464" s="16" t="s">
        <v>33</v>
      </c>
      <c r="J464" s="16" t="s">
        <v>34</v>
      </c>
      <c r="K464" s="16" t="s">
        <v>39</v>
      </c>
      <c r="L464" s="16" t="s">
        <v>19</v>
      </c>
      <c r="O464"/>
      <c r="P464"/>
    </row>
    <row r="465" spans="1:16" x14ac:dyDescent="0.25">
      <c r="A465" s="16" t="s">
        <v>547</v>
      </c>
      <c r="B465" s="13">
        <v>45902</v>
      </c>
      <c r="C465" s="13">
        <v>45905</v>
      </c>
      <c r="D465" s="16" t="s">
        <v>45</v>
      </c>
      <c r="E465" s="16" t="s">
        <v>29</v>
      </c>
      <c r="F465" s="16" t="s">
        <v>15</v>
      </c>
      <c r="G465" s="16" t="s">
        <v>31</v>
      </c>
      <c r="H465" s="16" t="s">
        <v>79</v>
      </c>
      <c r="I465" s="16" t="s">
        <v>38</v>
      </c>
      <c r="J465" s="16" t="s">
        <v>34</v>
      </c>
      <c r="K465" s="16" t="s">
        <v>20</v>
      </c>
      <c r="L465" s="16" t="s">
        <v>20</v>
      </c>
      <c r="O465"/>
      <c r="P465"/>
    </row>
    <row r="466" spans="1:16" x14ac:dyDescent="0.25">
      <c r="A466" s="16" t="s">
        <v>548</v>
      </c>
      <c r="B466" s="12">
        <v>45878</v>
      </c>
      <c r="D466" s="16" t="s">
        <v>45</v>
      </c>
      <c r="E466" s="16" t="s">
        <v>76</v>
      </c>
      <c r="F466" s="16" t="s">
        <v>30</v>
      </c>
      <c r="G466" s="16" t="s">
        <v>42</v>
      </c>
      <c r="H466" s="16" t="s">
        <v>95</v>
      </c>
      <c r="I466" s="16" t="s">
        <v>33</v>
      </c>
      <c r="J466" s="16" t="s">
        <v>60</v>
      </c>
      <c r="K466" s="16" t="s">
        <v>20</v>
      </c>
      <c r="L466" s="16" t="s">
        <v>39</v>
      </c>
      <c r="O466"/>
      <c r="P466"/>
    </row>
    <row r="467" spans="1:16" x14ac:dyDescent="0.25">
      <c r="A467" s="16" t="s">
        <v>549</v>
      </c>
      <c r="B467" s="13">
        <v>45744</v>
      </c>
      <c r="C467" s="13">
        <v>45746</v>
      </c>
      <c r="D467" s="16" t="s">
        <v>45</v>
      </c>
      <c r="E467" s="16" t="s">
        <v>14</v>
      </c>
      <c r="F467" s="16" t="s">
        <v>41</v>
      </c>
      <c r="G467" s="16" t="s">
        <v>31</v>
      </c>
      <c r="H467" s="16" t="s">
        <v>134</v>
      </c>
      <c r="I467" s="16" t="s">
        <v>47</v>
      </c>
      <c r="J467" s="16" t="s">
        <v>26</v>
      </c>
      <c r="K467" s="16" t="s">
        <v>20</v>
      </c>
      <c r="L467" s="16" t="s">
        <v>20</v>
      </c>
      <c r="O467"/>
      <c r="P467"/>
    </row>
    <row r="468" spans="1:16" x14ac:dyDescent="0.25">
      <c r="A468" s="16" t="s">
        <v>550</v>
      </c>
      <c r="B468" s="13">
        <v>46006</v>
      </c>
      <c r="D468" s="16" t="s">
        <v>49</v>
      </c>
      <c r="E468" s="16" t="s">
        <v>58</v>
      </c>
      <c r="F468" s="16" t="s">
        <v>22</v>
      </c>
      <c r="G468" s="16" t="s">
        <v>55</v>
      </c>
      <c r="H468" s="16" t="s">
        <v>73</v>
      </c>
      <c r="I468" s="16" t="s">
        <v>52</v>
      </c>
      <c r="J468" s="16" t="s">
        <v>60</v>
      </c>
      <c r="K468" s="16" t="s">
        <v>39</v>
      </c>
      <c r="L468" s="16" t="s">
        <v>39</v>
      </c>
      <c r="O468"/>
      <c r="P468"/>
    </row>
    <row r="469" spans="1:16" x14ac:dyDescent="0.25">
      <c r="A469" s="16" t="s">
        <v>551</v>
      </c>
      <c r="B469" s="13">
        <v>45739</v>
      </c>
      <c r="C469" s="13">
        <v>45742</v>
      </c>
      <c r="D469" s="16" t="s">
        <v>49</v>
      </c>
      <c r="E469" s="16" t="s">
        <v>29</v>
      </c>
      <c r="F469" s="16" t="s">
        <v>41</v>
      </c>
      <c r="G469" s="16" t="s">
        <v>55</v>
      </c>
      <c r="H469" s="16" t="s">
        <v>43</v>
      </c>
      <c r="I469" s="16" t="s">
        <v>38</v>
      </c>
      <c r="J469" s="16" t="s">
        <v>26</v>
      </c>
      <c r="K469" s="16" t="s">
        <v>39</v>
      </c>
      <c r="L469" s="16" t="s">
        <v>20</v>
      </c>
      <c r="O469"/>
      <c r="P469"/>
    </row>
    <row r="470" spans="1:16" x14ac:dyDescent="0.25">
      <c r="A470" s="16" t="s">
        <v>552</v>
      </c>
      <c r="B470" s="13">
        <v>45967</v>
      </c>
      <c r="C470" s="13">
        <v>45972</v>
      </c>
      <c r="D470" s="16" t="s">
        <v>13</v>
      </c>
      <c r="E470" s="16" t="s">
        <v>29</v>
      </c>
      <c r="F470" s="16" t="s">
        <v>66</v>
      </c>
      <c r="G470" s="16" t="s">
        <v>42</v>
      </c>
      <c r="H470" s="16" t="s">
        <v>92</v>
      </c>
      <c r="I470" s="16" t="s">
        <v>17</v>
      </c>
      <c r="J470" s="16" t="s">
        <v>60</v>
      </c>
      <c r="K470" s="16" t="s">
        <v>39</v>
      </c>
      <c r="L470" s="16" t="s">
        <v>39</v>
      </c>
      <c r="O470"/>
      <c r="P470"/>
    </row>
    <row r="471" spans="1:16" x14ac:dyDescent="0.25">
      <c r="A471" s="16" t="s">
        <v>553</v>
      </c>
      <c r="B471" s="12">
        <v>46008</v>
      </c>
      <c r="C471" s="13">
        <v>46015</v>
      </c>
      <c r="D471" s="16" t="s">
        <v>13</v>
      </c>
      <c r="E471" s="16" t="s">
        <v>29</v>
      </c>
      <c r="F471" s="16" t="s">
        <v>50</v>
      </c>
      <c r="G471" s="16" t="s">
        <v>23</v>
      </c>
      <c r="H471" s="16" t="s">
        <v>73</v>
      </c>
      <c r="I471" s="16" t="s">
        <v>69</v>
      </c>
      <c r="J471" s="16" t="s">
        <v>26</v>
      </c>
      <c r="K471" s="16" t="s">
        <v>39</v>
      </c>
      <c r="L471" s="16" t="s">
        <v>39</v>
      </c>
      <c r="O471"/>
      <c r="P471"/>
    </row>
    <row r="472" spans="1:16" x14ac:dyDescent="0.25">
      <c r="A472" s="16" t="s">
        <v>554</v>
      </c>
      <c r="B472" s="13">
        <v>45872</v>
      </c>
      <c r="C472" s="13">
        <v>45875</v>
      </c>
      <c r="D472" s="16" t="s">
        <v>45</v>
      </c>
      <c r="E472" s="16" t="s">
        <v>29</v>
      </c>
      <c r="F472" s="16" t="s">
        <v>36</v>
      </c>
      <c r="G472" s="16" t="s">
        <v>16</v>
      </c>
      <c r="H472" s="16" t="s">
        <v>37</v>
      </c>
      <c r="I472" s="16" t="s">
        <v>25</v>
      </c>
      <c r="J472" s="16" t="s">
        <v>34</v>
      </c>
      <c r="K472" s="16" t="s">
        <v>20</v>
      </c>
      <c r="L472" s="16" t="s">
        <v>39</v>
      </c>
      <c r="O472"/>
      <c r="P472"/>
    </row>
    <row r="473" spans="1:16" x14ac:dyDescent="0.25">
      <c r="A473" s="16" t="s">
        <v>555</v>
      </c>
      <c r="B473" s="13">
        <v>45820</v>
      </c>
      <c r="D473" s="16" t="s">
        <v>49</v>
      </c>
      <c r="E473" s="16" t="s">
        <v>76</v>
      </c>
      <c r="F473" s="16" t="s">
        <v>36</v>
      </c>
      <c r="G473" s="16" t="s">
        <v>16</v>
      </c>
      <c r="H473" s="16" t="s">
        <v>32</v>
      </c>
      <c r="I473" s="16" t="s">
        <v>38</v>
      </c>
      <c r="J473" s="16" t="s">
        <v>34</v>
      </c>
      <c r="K473" s="16" t="s">
        <v>19</v>
      </c>
      <c r="L473" s="16" t="s">
        <v>20</v>
      </c>
      <c r="O473"/>
      <c r="P473"/>
    </row>
    <row r="474" spans="1:16" x14ac:dyDescent="0.25">
      <c r="A474" s="16" t="s">
        <v>556</v>
      </c>
      <c r="B474" s="13">
        <v>45765</v>
      </c>
      <c r="C474" s="13">
        <v>45765</v>
      </c>
      <c r="D474" s="16" t="s">
        <v>45</v>
      </c>
      <c r="E474" s="16" t="s">
        <v>14</v>
      </c>
      <c r="F474" s="16" t="s">
        <v>15</v>
      </c>
      <c r="G474" s="16" t="s">
        <v>23</v>
      </c>
      <c r="H474" s="16" t="s">
        <v>77</v>
      </c>
      <c r="I474" s="16" t="s">
        <v>25</v>
      </c>
      <c r="J474" s="16" t="s">
        <v>34</v>
      </c>
      <c r="K474" s="16" t="s">
        <v>20</v>
      </c>
      <c r="L474" s="16" t="s">
        <v>20</v>
      </c>
      <c r="O474"/>
      <c r="P474"/>
    </row>
    <row r="475" spans="1:16" x14ac:dyDescent="0.25">
      <c r="A475" s="16" t="s">
        <v>557</v>
      </c>
      <c r="B475" s="12">
        <v>45941</v>
      </c>
      <c r="C475" s="13">
        <v>45941</v>
      </c>
      <c r="D475" s="16" t="s">
        <v>28</v>
      </c>
      <c r="E475" s="16" t="s">
        <v>29</v>
      </c>
      <c r="F475" s="16" t="s">
        <v>50</v>
      </c>
      <c r="G475" s="16" t="s">
        <v>55</v>
      </c>
      <c r="H475" s="16" t="s">
        <v>46</v>
      </c>
      <c r="I475" s="16" t="s">
        <v>33</v>
      </c>
      <c r="J475" s="16" t="s">
        <v>18</v>
      </c>
      <c r="K475" s="16" t="s">
        <v>39</v>
      </c>
      <c r="L475" s="16" t="s">
        <v>20</v>
      </c>
      <c r="O475"/>
      <c r="P475"/>
    </row>
    <row r="476" spans="1:16" x14ac:dyDescent="0.25">
      <c r="A476" s="16" t="s">
        <v>558</v>
      </c>
      <c r="B476" s="13">
        <v>45977</v>
      </c>
      <c r="C476" s="13">
        <v>45979</v>
      </c>
      <c r="D476" s="16" t="s">
        <v>13</v>
      </c>
      <c r="E476" s="16" t="s">
        <v>14</v>
      </c>
      <c r="F476" s="16" t="s">
        <v>54</v>
      </c>
      <c r="G476" s="16" t="s">
        <v>42</v>
      </c>
      <c r="H476" s="16" t="s">
        <v>92</v>
      </c>
      <c r="I476" s="16" t="s">
        <v>38</v>
      </c>
      <c r="J476" s="16" t="s">
        <v>18</v>
      </c>
      <c r="K476" s="16" t="s">
        <v>39</v>
      </c>
      <c r="L476" s="16" t="s">
        <v>20</v>
      </c>
      <c r="O476"/>
      <c r="P476"/>
    </row>
    <row r="477" spans="1:16" x14ac:dyDescent="0.25">
      <c r="A477" s="16" t="s">
        <v>559</v>
      </c>
      <c r="B477" s="13">
        <v>45917</v>
      </c>
      <c r="C477" s="13">
        <v>45917</v>
      </c>
      <c r="D477" s="16" t="s">
        <v>45</v>
      </c>
      <c r="E477" s="16" t="s">
        <v>29</v>
      </c>
      <c r="F477" s="16" t="s">
        <v>494</v>
      </c>
      <c r="G477" s="16" t="s">
        <v>23</v>
      </c>
      <c r="H477" s="16" t="s">
        <v>128</v>
      </c>
      <c r="I477" s="16" t="s">
        <v>69</v>
      </c>
      <c r="J477" s="16" t="s">
        <v>34</v>
      </c>
      <c r="K477" s="16" t="s">
        <v>19</v>
      </c>
      <c r="L477" s="16" t="s">
        <v>20</v>
      </c>
      <c r="O477"/>
      <c r="P477"/>
    </row>
    <row r="478" spans="1:16" x14ac:dyDescent="0.25">
      <c r="A478" s="16" t="s">
        <v>560</v>
      </c>
      <c r="B478" s="13">
        <v>45858</v>
      </c>
      <c r="D478" s="16" t="s">
        <v>49</v>
      </c>
      <c r="E478" s="16" t="s">
        <v>58</v>
      </c>
      <c r="F478" s="16" t="s">
        <v>54</v>
      </c>
      <c r="G478" s="16" t="s">
        <v>23</v>
      </c>
      <c r="H478" s="16" t="s">
        <v>77</v>
      </c>
      <c r="I478" s="16" t="s">
        <v>33</v>
      </c>
      <c r="J478" s="16" t="s">
        <v>60</v>
      </c>
      <c r="K478" s="16" t="s">
        <v>19</v>
      </c>
      <c r="L478" s="16" t="s">
        <v>19</v>
      </c>
      <c r="O478"/>
      <c r="P478"/>
    </row>
    <row r="479" spans="1:16" x14ac:dyDescent="0.25">
      <c r="A479" s="16" t="s">
        <v>561</v>
      </c>
      <c r="B479" s="13">
        <v>45979</v>
      </c>
      <c r="C479" s="13">
        <v>45980</v>
      </c>
      <c r="D479" s="16" t="s">
        <v>13</v>
      </c>
      <c r="E479" s="16" t="s">
        <v>14</v>
      </c>
      <c r="F479" s="16" t="s">
        <v>103</v>
      </c>
      <c r="G479" s="16" t="s">
        <v>42</v>
      </c>
      <c r="H479" s="16"/>
      <c r="I479" s="16" t="s">
        <v>52</v>
      </c>
      <c r="J479" s="16" t="s">
        <v>26</v>
      </c>
      <c r="K479" s="16" t="s">
        <v>39</v>
      </c>
      <c r="L479" s="16" t="s">
        <v>39</v>
      </c>
      <c r="O479"/>
      <c r="P479"/>
    </row>
    <row r="480" spans="1:16" x14ac:dyDescent="0.25">
      <c r="A480" s="16" t="s">
        <v>562</v>
      </c>
      <c r="B480" s="13">
        <v>45771</v>
      </c>
      <c r="C480" s="13">
        <v>45772</v>
      </c>
      <c r="D480" s="16" t="s">
        <v>28</v>
      </c>
      <c r="E480" s="16" t="s">
        <v>29</v>
      </c>
      <c r="F480" s="16" t="s">
        <v>36</v>
      </c>
      <c r="G480" s="16" t="s">
        <v>16</v>
      </c>
      <c r="H480" s="16" t="s">
        <v>46</v>
      </c>
      <c r="I480" s="16" t="s">
        <v>25</v>
      </c>
      <c r="J480" s="16" t="s">
        <v>34</v>
      </c>
      <c r="K480" s="16" t="s">
        <v>20</v>
      </c>
      <c r="L480" s="16" t="s">
        <v>20</v>
      </c>
      <c r="O480"/>
      <c r="P480"/>
    </row>
    <row r="481" spans="1:16" x14ac:dyDescent="0.25">
      <c r="A481" s="16" t="s">
        <v>563</v>
      </c>
      <c r="B481" s="13">
        <v>45705</v>
      </c>
      <c r="D481" s="16" t="s">
        <v>45</v>
      </c>
      <c r="E481" s="16" t="s">
        <v>76</v>
      </c>
      <c r="F481" s="16" t="s">
        <v>144</v>
      </c>
      <c r="G481" s="16" t="s">
        <v>55</v>
      </c>
      <c r="H481" s="16" t="s">
        <v>77</v>
      </c>
      <c r="I481" s="16" t="s">
        <v>52</v>
      </c>
      <c r="J481" s="16" t="s">
        <v>18</v>
      </c>
      <c r="K481" s="16" t="s">
        <v>39</v>
      </c>
      <c r="L481" s="16" t="s">
        <v>39</v>
      </c>
      <c r="O481"/>
      <c r="P481"/>
    </row>
    <row r="482" spans="1:16" x14ac:dyDescent="0.25">
      <c r="A482" s="16" t="s">
        <v>564</v>
      </c>
      <c r="B482" s="13">
        <v>45749</v>
      </c>
      <c r="C482" s="13">
        <v>45749</v>
      </c>
      <c r="D482" s="16" t="s">
        <v>49</v>
      </c>
      <c r="E482" s="16" t="s">
        <v>14</v>
      </c>
      <c r="F482" s="16" t="s">
        <v>36</v>
      </c>
      <c r="G482" s="16" t="s">
        <v>55</v>
      </c>
      <c r="H482" s="16" t="s">
        <v>128</v>
      </c>
      <c r="I482" s="16" t="s">
        <v>17</v>
      </c>
      <c r="J482" s="16" t="s">
        <v>26</v>
      </c>
      <c r="K482" s="16" t="s">
        <v>39</v>
      </c>
      <c r="L482" s="16" t="s">
        <v>39</v>
      </c>
      <c r="O482"/>
      <c r="P482"/>
    </row>
    <row r="483" spans="1:16" x14ac:dyDescent="0.25">
      <c r="A483" s="16" t="s">
        <v>565</v>
      </c>
      <c r="B483" s="13">
        <v>45728</v>
      </c>
      <c r="D483" s="16" t="s">
        <v>13</v>
      </c>
      <c r="E483" s="16" t="s">
        <v>58</v>
      </c>
      <c r="F483" s="16" t="s">
        <v>50</v>
      </c>
      <c r="G483" s="16" t="s">
        <v>23</v>
      </c>
      <c r="H483" s="16" t="s">
        <v>151</v>
      </c>
      <c r="I483" s="16" t="s">
        <v>17</v>
      </c>
      <c r="J483" s="16" t="s">
        <v>26</v>
      </c>
      <c r="K483" s="16" t="s">
        <v>39</v>
      </c>
      <c r="L483" s="16" t="s">
        <v>39</v>
      </c>
      <c r="O483"/>
      <c r="P483"/>
    </row>
    <row r="484" spans="1:16" x14ac:dyDescent="0.25">
      <c r="A484" s="16" t="s">
        <v>566</v>
      </c>
      <c r="B484" s="13">
        <v>45801</v>
      </c>
      <c r="C484" s="13">
        <v>45803</v>
      </c>
      <c r="D484" s="16" t="s">
        <v>49</v>
      </c>
      <c r="E484" s="16" t="s">
        <v>14</v>
      </c>
      <c r="F484" s="16" t="s">
        <v>41</v>
      </c>
      <c r="G484" s="16" t="s">
        <v>23</v>
      </c>
      <c r="H484" s="16" t="s">
        <v>136</v>
      </c>
      <c r="I484" s="16" t="s">
        <v>33</v>
      </c>
      <c r="J484" s="16" t="s">
        <v>26</v>
      </c>
      <c r="K484" s="16" t="s">
        <v>20</v>
      </c>
      <c r="L484" s="16" t="s">
        <v>19</v>
      </c>
      <c r="O484"/>
      <c r="P484"/>
    </row>
    <row r="485" spans="1:16" x14ac:dyDescent="0.25">
      <c r="A485" s="16" t="s">
        <v>567</v>
      </c>
      <c r="B485" s="12">
        <v>45888</v>
      </c>
      <c r="D485" s="16" t="s">
        <v>45</v>
      </c>
      <c r="E485" s="16" t="s">
        <v>58</v>
      </c>
      <c r="F485" s="16" t="s">
        <v>54</v>
      </c>
      <c r="G485" s="16" t="s">
        <v>23</v>
      </c>
      <c r="H485" s="16" t="s">
        <v>46</v>
      </c>
      <c r="I485" s="16" t="s">
        <v>38</v>
      </c>
      <c r="J485" s="16" t="s">
        <v>34</v>
      </c>
      <c r="K485" s="16" t="s">
        <v>20</v>
      </c>
      <c r="L485" s="16" t="s">
        <v>39</v>
      </c>
      <c r="O485"/>
      <c r="P485"/>
    </row>
    <row r="486" spans="1:16" x14ac:dyDescent="0.25">
      <c r="A486" s="16" t="s">
        <v>568</v>
      </c>
      <c r="B486" s="13">
        <v>45994</v>
      </c>
      <c r="C486" s="13">
        <v>45997</v>
      </c>
      <c r="D486" s="16" t="s">
        <v>49</v>
      </c>
      <c r="E486" s="16" t="s">
        <v>85</v>
      </c>
      <c r="F486" s="16" t="s">
        <v>22</v>
      </c>
      <c r="G486" s="16" t="s">
        <v>55</v>
      </c>
      <c r="H486" s="16" t="s">
        <v>136</v>
      </c>
      <c r="I486" s="16" t="s">
        <v>25</v>
      </c>
      <c r="J486" s="16" t="s">
        <v>26</v>
      </c>
      <c r="K486" s="16" t="s">
        <v>19</v>
      </c>
      <c r="L486" s="16" t="s">
        <v>19</v>
      </c>
      <c r="O486"/>
      <c r="P486"/>
    </row>
    <row r="487" spans="1:16" x14ac:dyDescent="0.25">
      <c r="A487" s="16" t="s">
        <v>569</v>
      </c>
      <c r="B487" s="13">
        <v>46001</v>
      </c>
      <c r="D487" s="16" t="s">
        <v>28</v>
      </c>
      <c r="E487" s="16" t="s">
        <v>76</v>
      </c>
      <c r="F487" s="16" t="s">
        <v>54</v>
      </c>
      <c r="G487" s="16" t="s">
        <v>42</v>
      </c>
      <c r="H487" s="16" t="s">
        <v>62</v>
      </c>
      <c r="I487" s="16" t="s">
        <v>38</v>
      </c>
      <c r="J487" s="16" t="s">
        <v>34</v>
      </c>
      <c r="K487" s="16" t="s">
        <v>19</v>
      </c>
      <c r="L487" s="16" t="s">
        <v>20</v>
      </c>
      <c r="O487"/>
      <c r="P487"/>
    </row>
    <row r="488" spans="1:16" x14ac:dyDescent="0.25">
      <c r="A488" s="16" t="s">
        <v>570</v>
      </c>
      <c r="B488" s="13">
        <v>45779</v>
      </c>
      <c r="C488" s="13">
        <v>45779</v>
      </c>
      <c r="D488" s="16" t="s">
        <v>28</v>
      </c>
      <c r="E488" s="16" t="s">
        <v>85</v>
      </c>
      <c r="F488" s="16" t="s">
        <v>41</v>
      </c>
      <c r="G488" s="16" t="s">
        <v>16</v>
      </c>
      <c r="H488" s="16"/>
      <c r="I488" s="16" t="s">
        <v>38</v>
      </c>
      <c r="J488" s="16" t="s">
        <v>60</v>
      </c>
      <c r="K488" s="16" t="s">
        <v>20</v>
      </c>
      <c r="L488" s="16" t="s">
        <v>19</v>
      </c>
      <c r="O488"/>
      <c r="P488"/>
    </row>
    <row r="489" spans="1:16" x14ac:dyDescent="0.25">
      <c r="A489" s="16" t="s">
        <v>571</v>
      </c>
      <c r="B489" s="12">
        <v>45820</v>
      </c>
      <c r="C489" s="13">
        <v>45821</v>
      </c>
      <c r="D489" s="16" t="s">
        <v>49</v>
      </c>
      <c r="E489" s="16" t="s">
        <v>14</v>
      </c>
      <c r="F489" s="16" t="s">
        <v>50</v>
      </c>
      <c r="G489" s="16" t="s">
        <v>55</v>
      </c>
      <c r="H489" s="16" t="s">
        <v>136</v>
      </c>
      <c r="I489" s="16" t="s">
        <v>25</v>
      </c>
      <c r="J489" s="16" t="s">
        <v>60</v>
      </c>
      <c r="K489" s="16" t="s">
        <v>39</v>
      </c>
      <c r="L489" s="16" t="s">
        <v>39</v>
      </c>
      <c r="O489"/>
      <c r="P489"/>
    </row>
    <row r="490" spans="1:16" x14ac:dyDescent="0.25">
      <c r="A490" s="16" t="s">
        <v>572</v>
      </c>
      <c r="B490" s="12">
        <v>46010</v>
      </c>
      <c r="C490" s="13">
        <v>46012</v>
      </c>
      <c r="D490" s="16" t="s">
        <v>45</v>
      </c>
      <c r="E490" s="16" t="s">
        <v>14</v>
      </c>
      <c r="F490" s="16" t="s">
        <v>36</v>
      </c>
      <c r="G490" s="16" t="s">
        <v>55</v>
      </c>
      <c r="H490" s="16" t="s">
        <v>106</v>
      </c>
      <c r="I490" s="16" t="s">
        <v>52</v>
      </c>
      <c r="J490" s="16" t="s">
        <v>18</v>
      </c>
      <c r="K490" s="16" t="s">
        <v>20</v>
      </c>
      <c r="L490" s="16" t="s">
        <v>19</v>
      </c>
      <c r="O490"/>
      <c r="P490"/>
    </row>
    <row r="491" spans="1:16" x14ac:dyDescent="0.25">
      <c r="A491" s="16" t="s">
        <v>573</v>
      </c>
      <c r="B491" s="13">
        <v>45728</v>
      </c>
      <c r="C491" s="13">
        <v>45734</v>
      </c>
      <c r="D491" s="16" t="s">
        <v>13</v>
      </c>
      <c r="E491" s="16" t="s">
        <v>29</v>
      </c>
      <c r="F491" s="16" t="s">
        <v>54</v>
      </c>
      <c r="G491" s="16" t="s">
        <v>42</v>
      </c>
      <c r="H491" s="16" t="s">
        <v>62</v>
      </c>
      <c r="I491" s="16" t="s">
        <v>17</v>
      </c>
      <c r="J491" s="16" t="s">
        <v>60</v>
      </c>
      <c r="K491" s="16" t="s">
        <v>20</v>
      </c>
      <c r="L491" s="16" t="s">
        <v>20</v>
      </c>
      <c r="O491"/>
      <c r="P491"/>
    </row>
    <row r="492" spans="1:16" x14ac:dyDescent="0.25">
      <c r="A492" s="16" t="s">
        <v>574</v>
      </c>
      <c r="B492" s="13">
        <v>45838</v>
      </c>
      <c r="C492" s="13">
        <v>45842</v>
      </c>
      <c r="D492" s="16" t="s">
        <v>45</v>
      </c>
      <c r="E492" s="16" t="s">
        <v>29</v>
      </c>
      <c r="F492" s="16" t="s">
        <v>237</v>
      </c>
      <c r="G492" s="16" t="s">
        <v>31</v>
      </c>
      <c r="H492" s="16" t="s">
        <v>37</v>
      </c>
      <c r="I492" s="16" t="s">
        <v>47</v>
      </c>
      <c r="J492" s="16" t="s">
        <v>26</v>
      </c>
      <c r="K492" s="16" t="s">
        <v>19</v>
      </c>
      <c r="L492" s="16" t="s">
        <v>20</v>
      </c>
      <c r="O492"/>
      <c r="P492"/>
    </row>
    <row r="493" spans="1:16" x14ac:dyDescent="0.25">
      <c r="A493" s="16" t="s">
        <v>575</v>
      </c>
      <c r="B493" s="12">
        <v>45916</v>
      </c>
      <c r="D493" s="16" t="s">
        <v>45</v>
      </c>
      <c r="E493" s="16" t="s">
        <v>76</v>
      </c>
      <c r="F493" s="16" t="s">
        <v>54</v>
      </c>
      <c r="G493" s="16" t="s">
        <v>31</v>
      </c>
      <c r="H493" s="16" t="s">
        <v>77</v>
      </c>
      <c r="I493" s="16" t="s">
        <v>47</v>
      </c>
      <c r="J493" s="16" t="s">
        <v>60</v>
      </c>
      <c r="K493" s="16" t="s">
        <v>39</v>
      </c>
      <c r="L493" s="16" t="s">
        <v>20</v>
      </c>
      <c r="O493"/>
      <c r="P493"/>
    </row>
    <row r="494" spans="1:16" x14ac:dyDescent="0.25">
      <c r="A494" s="16" t="s">
        <v>576</v>
      </c>
      <c r="B494" s="13">
        <v>45714</v>
      </c>
      <c r="D494" s="16" t="s">
        <v>13</v>
      </c>
      <c r="E494" s="16" t="s">
        <v>58</v>
      </c>
      <c r="F494" s="16" t="s">
        <v>36</v>
      </c>
      <c r="G494" s="16" t="s">
        <v>16</v>
      </c>
      <c r="H494" s="16" t="s">
        <v>77</v>
      </c>
      <c r="I494" s="16" t="s">
        <v>33</v>
      </c>
      <c r="J494" s="16" t="s">
        <v>18</v>
      </c>
      <c r="K494" s="16" t="s">
        <v>19</v>
      </c>
      <c r="L494" s="16" t="s">
        <v>20</v>
      </c>
      <c r="O494"/>
      <c r="P494"/>
    </row>
    <row r="495" spans="1:16" x14ac:dyDescent="0.25">
      <c r="A495" s="16" t="s">
        <v>577</v>
      </c>
      <c r="B495" s="13">
        <v>45797</v>
      </c>
      <c r="C495" s="13">
        <v>45798</v>
      </c>
      <c r="D495" s="16" t="s">
        <v>49</v>
      </c>
      <c r="E495" s="16" t="s">
        <v>29</v>
      </c>
      <c r="F495" s="16" t="s">
        <v>54</v>
      </c>
      <c r="G495" s="16" t="s">
        <v>55</v>
      </c>
      <c r="H495" s="16" t="s">
        <v>59</v>
      </c>
      <c r="I495" s="16" t="s">
        <v>25</v>
      </c>
      <c r="J495" s="16" t="s">
        <v>60</v>
      </c>
      <c r="K495" s="16" t="s">
        <v>39</v>
      </c>
      <c r="L495" s="16" t="s">
        <v>19</v>
      </c>
      <c r="O495"/>
      <c r="P495"/>
    </row>
    <row r="496" spans="1:16" x14ac:dyDescent="0.25">
      <c r="A496" s="16" t="s">
        <v>578</v>
      </c>
      <c r="B496" s="13">
        <v>45691</v>
      </c>
      <c r="C496" s="13">
        <v>45695</v>
      </c>
      <c r="D496" s="16" t="s">
        <v>45</v>
      </c>
      <c r="E496" s="16" t="s">
        <v>29</v>
      </c>
      <c r="F496" s="16" t="s">
        <v>15</v>
      </c>
      <c r="G496" s="16" t="s">
        <v>31</v>
      </c>
      <c r="H496" s="16" t="s">
        <v>92</v>
      </c>
      <c r="I496" s="16" t="s">
        <v>52</v>
      </c>
      <c r="J496" s="16" t="s">
        <v>60</v>
      </c>
      <c r="K496" s="16" t="s">
        <v>39</v>
      </c>
      <c r="L496" s="16" t="s">
        <v>39</v>
      </c>
      <c r="O496"/>
      <c r="P496"/>
    </row>
    <row r="497" spans="1:16" x14ac:dyDescent="0.25">
      <c r="A497" s="16" t="s">
        <v>579</v>
      </c>
      <c r="B497" s="12">
        <v>46016</v>
      </c>
      <c r="C497" s="13">
        <v>46018</v>
      </c>
      <c r="D497" s="16" t="s">
        <v>45</v>
      </c>
      <c r="E497" s="16" t="s">
        <v>14</v>
      </c>
      <c r="F497" s="16" t="s">
        <v>66</v>
      </c>
      <c r="G497" s="16"/>
      <c r="H497" s="16" t="s">
        <v>37</v>
      </c>
      <c r="I497" s="16" t="s">
        <v>25</v>
      </c>
      <c r="J497" s="16" t="s">
        <v>34</v>
      </c>
      <c r="K497" s="16" t="s">
        <v>19</v>
      </c>
      <c r="L497" s="16" t="s">
        <v>39</v>
      </c>
      <c r="O497"/>
      <c r="P497"/>
    </row>
    <row r="498" spans="1:16" x14ac:dyDescent="0.25">
      <c r="A498" s="16" t="s">
        <v>580</v>
      </c>
      <c r="B498" s="13">
        <v>45900</v>
      </c>
      <c r="C498" s="13">
        <v>45904</v>
      </c>
      <c r="D498" s="16" t="s">
        <v>45</v>
      </c>
      <c r="E498" s="16" t="s">
        <v>85</v>
      </c>
      <c r="F498" s="16" t="s">
        <v>50</v>
      </c>
      <c r="G498" s="16" t="s">
        <v>55</v>
      </c>
      <c r="H498" s="16" t="s">
        <v>37</v>
      </c>
      <c r="I498" s="16" t="s">
        <v>33</v>
      </c>
      <c r="J498" s="16" t="s">
        <v>26</v>
      </c>
      <c r="K498" s="16" t="s">
        <v>19</v>
      </c>
      <c r="L498" s="16" t="s">
        <v>20</v>
      </c>
      <c r="O498"/>
      <c r="P498"/>
    </row>
    <row r="499" spans="1:16" x14ac:dyDescent="0.25">
      <c r="A499" s="16" t="s">
        <v>581</v>
      </c>
      <c r="B499" s="13">
        <v>45892</v>
      </c>
      <c r="D499" s="16" t="s">
        <v>49</v>
      </c>
      <c r="E499" s="16" t="s">
        <v>76</v>
      </c>
      <c r="F499" s="16" t="s">
        <v>41</v>
      </c>
      <c r="G499" s="16"/>
      <c r="H499" s="16" t="s">
        <v>59</v>
      </c>
      <c r="I499" s="16" t="s">
        <v>69</v>
      </c>
      <c r="J499" s="16" t="s">
        <v>18</v>
      </c>
      <c r="K499" s="16" t="s">
        <v>39</v>
      </c>
      <c r="L499" s="16" t="s">
        <v>39</v>
      </c>
      <c r="O499"/>
      <c r="P499"/>
    </row>
    <row r="500" spans="1:16" x14ac:dyDescent="0.25">
      <c r="A500" s="16" t="s">
        <v>582</v>
      </c>
      <c r="B500" s="12">
        <v>46014</v>
      </c>
      <c r="C500" s="13">
        <v>46018</v>
      </c>
      <c r="D500" s="16" t="s">
        <v>45</v>
      </c>
      <c r="E500" s="16" t="s">
        <v>14</v>
      </c>
      <c r="F500" s="16" t="s">
        <v>15</v>
      </c>
      <c r="G500" s="16" t="s">
        <v>42</v>
      </c>
      <c r="H500" s="16" t="s">
        <v>128</v>
      </c>
      <c r="I500" s="16" t="s">
        <v>69</v>
      </c>
      <c r="J500" s="16" t="s">
        <v>18</v>
      </c>
      <c r="K500" s="16" t="s">
        <v>19</v>
      </c>
      <c r="L500" s="16" t="s">
        <v>20</v>
      </c>
      <c r="O500"/>
      <c r="P500"/>
    </row>
    <row r="501" spans="1:16" x14ac:dyDescent="0.25">
      <c r="A501" s="16" t="s">
        <v>583</v>
      </c>
      <c r="B501" s="13">
        <v>45799</v>
      </c>
      <c r="C501" s="13">
        <v>45799</v>
      </c>
      <c r="D501" s="16" t="s">
        <v>49</v>
      </c>
      <c r="E501" s="16" t="s">
        <v>29</v>
      </c>
      <c r="F501" s="16" t="s">
        <v>41</v>
      </c>
      <c r="G501" s="16" t="s">
        <v>55</v>
      </c>
      <c r="H501" s="16" t="s">
        <v>110</v>
      </c>
      <c r="I501" s="16" t="s">
        <v>33</v>
      </c>
      <c r="J501" s="16" t="s">
        <v>26</v>
      </c>
      <c r="K501" s="16" t="s">
        <v>19</v>
      </c>
      <c r="L501" s="16" t="s">
        <v>19</v>
      </c>
      <c r="O501"/>
      <c r="P501"/>
    </row>
    <row r="505" spans="1:16" x14ac:dyDescent="0.25">
      <c r="F505" t="e">
        <f>LEN(#REF!)</f>
        <v>#REF!</v>
      </c>
      <c r="H505" t="e">
        <f>LEN(#REF!)</f>
        <v>#REF!</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01"/>
  <sheetViews>
    <sheetView zoomScale="80" zoomScaleNormal="80" workbookViewId="0"/>
  </sheetViews>
  <sheetFormatPr defaultRowHeight="15" x14ac:dyDescent="0.25"/>
  <cols>
    <col min="1" max="1" width="13" style="7" bestFit="1" customWidth="1"/>
    <col min="2" max="2" width="17.42578125" style="1" bestFit="1" customWidth="1"/>
    <col min="3" max="3" width="18.85546875" style="1" bestFit="1" customWidth="1"/>
    <col min="4" max="4" width="10.85546875" style="7" bestFit="1" customWidth="1"/>
    <col min="5" max="5" width="12" style="7" bestFit="1" customWidth="1"/>
    <col min="6" max="6" width="18.42578125" style="7" bestFit="1" customWidth="1"/>
    <col min="7" max="7" width="22.85546875" style="7" bestFit="1" customWidth="1"/>
    <col min="8" max="8" width="19.85546875" style="7" bestFit="1" customWidth="1"/>
    <col min="9" max="9" width="12.28515625" style="7" bestFit="1" customWidth="1"/>
    <col min="10" max="10" width="12.140625" style="7" bestFit="1" customWidth="1"/>
    <col min="11" max="11" width="10.7109375" style="7" bestFit="1" customWidth="1"/>
    <col min="12" max="12" width="11.5703125" style="7" bestFit="1" customWidth="1"/>
    <col min="13" max="13" width="26.7109375" style="7" customWidth="1"/>
    <col min="14" max="14" width="20.5703125" style="7" customWidth="1"/>
    <col min="15" max="15" width="13" style="7" customWidth="1"/>
    <col min="16" max="16" width="19.140625" style="7" bestFit="1" customWidth="1"/>
    <col min="17" max="17" width="15" style="7" customWidth="1"/>
    <col min="18" max="18" width="14.42578125" style="7" customWidth="1"/>
    <col min="19" max="19" width="19.28515625" style="7" customWidth="1"/>
  </cols>
  <sheetData>
    <row r="1" spans="1:19" x14ac:dyDescent="0.25">
      <c r="A1" t="s">
        <v>0</v>
      </c>
      <c r="B1" s="1" t="s">
        <v>1</v>
      </c>
      <c r="C1" s="1" t="s">
        <v>2</v>
      </c>
      <c r="D1" t="s">
        <v>3</v>
      </c>
      <c r="E1" t="s">
        <v>4</v>
      </c>
      <c r="F1" t="s">
        <v>5</v>
      </c>
      <c r="G1" t="s">
        <v>6</v>
      </c>
      <c r="H1" t="s">
        <v>7</v>
      </c>
      <c r="I1" t="s">
        <v>8</v>
      </c>
      <c r="J1" t="s">
        <v>9</v>
      </c>
      <c r="K1" t="s">
        <v>10</v>
      </c>
      <c r="L1" t="s">
        <v>11</v>
      </c>
      <c r="M1" t="s">
        <v>584</v>
      </c>
      <c r="N1" t="s">
        <v>585</v>
      </c>
      <c r="O1" t="s">
        <v>586</v>
      </c>
      <c r="P1" t="s">
        <v>587</v>
      </c>
      <c r="Q1" t="s">
        <v>588</v>
      </c>
      <c r="R1" t="s">
        <v>589</v>
      </c>
      <c r="S1" t="s">
        <v>590</v>
      </c>
    </row>
    <row r="2" spans="1:19" x14ac:dyDescent="0.25">
      <c r="A2" t="s">
        <v>12</v>
      </c>
      <c r="B2" s="1">
        <v>45670</v>
      </c>
      <c r="C2" s="1">
        <v>45673</v>
      </c>
      <c r="D2" t="s">
        <v>13</v>
      </c>
      <c r="E2" t="s">
        <v>14</v>
      </c>
      <c r="F2" t="s">
        <v>15</v>
      </c>
      <c r="G2" t="s">
        <v>16</v>
      </c>
      <c r="H2" t="s">
        <v>591</v>
      </c>
      <c r="I2" t="s">
        <v>17</v>
      </c>
      <c r="J2" t="s">
        <v>18</v>
      </c>
      <c r="K2" t="s">
        <v>19</v>
      </c>
      <c r="L2" t="s">
        <v>20</v>
      </c>
      <c r="M2">
        <f t="shared" ref="M2:M65" si="0">IF(C2="","",C2-B2)</f>
        <v>3</v>
      </c>
      <c r="N2">
        <f t="shared" ref="N2:N65" si="1">IF(D2="P1",1,
IF(D2="P2",3,
IF(D2="P3",5,7)))</f>
        <v>7</v>
      </c>
      <c r="O2" t="str">
        <f t="shared" ref="O2:O65" si="2">IF(C2="","Open",
IF(M2&lt;=N2, "Met", "Breached"))</f>
        <v>Met</v>
      </c>
      <c r="P2" t="str">
        <f t="shared" ref="P2:P65" si="3">TEXT(B2,"mmm")</f>
        <v>Jan</v>
      </c>
      <c r="Q2">
        <f t="shared" ref="Q2:Q65" si="4">YEAR(B2)</f>
        <v>2025</v>
      </c>
      <c r="R2" t="str">
        <f t="shared" ref="R2:R65" si="5">IF(C2="","Open","Closed")</f>
        <v>Closed</v>
      </c>
      <c r="S2" t="str">
        <f t="shared" ref="S2:S65" si="6">IF(C2="","Open",TEXT(C2,"mmm"))</f>
        <v>Jan</v>
      </c>
    </row>
    <row r="3" spans="1:19" x14ac:dyDescent="0.25">
      <c r="A3" t="s">
        <v>21</v>
      </c>
      <c r="B3" s="1">
        <v>45661</v>
      </c>
      <c r="C3" s="1">
        <v>45665</v>
      </c>
      <c r="D3" t="s">
        <v>13</v>
      </c>
      <c r="E3" t="s">
        <v>14</v>
      </c>
      <c r="F3" t="s">
        <v>22</v>
      </c>
      <c r="G3" t="s">
        <v>23</v>
      </c>
      <c r="H3" t="s">
        <v>24</v>
      </c>
      <c r="I3" t="s">
        <v>25</v>
      </c>
      <c r="J3" t="s">
        <v>26</v>
      </c>
      <c r="K3" t="s">
        <v>19</v>
      </c>
      <c r="L3" t="s">
        <v>19</v>
      </c>
      <c r="M3">
        <f t="shared" si="0"/>
        <v>4</v>
      </c>
      <c r="N3">
        <f t="shared" si="1"/>
        <v>7</v>
      </c>
      <c r="O3" t="str">
        <f t="shared" si="2"/>
        <v>Met</v>
      </c>
      <c r="P3" t="str">
        <f t="shared" si="3"/>
        <v>Jan</v>
      </c>
      <c r="Q3">
        <f t="shared" si="4"/>
        <v>2025</v>
      </c>
      <c r="R3" t="str">
        <f t="shared" si="5"/>
        <v>Closed</v>
      </c>
      <c r="S3" t="str">
        <f t="shared" si="6"/>
        <v>Jan</v>
      </c>
    </row>
    <row r="4" spans="1:19" x14ac:dyDescent="0.25">
      <c r="A4" t="s">
        <v>21</v>
      </c>
      <c r="B4" s="1">
        <v>45978</v>
      </c>
      <c r="C4" s="1">
        <v>45984</v>
      </c>
      <c r="D4" t="s">
        <v>49</v>
      </c>
      <c r="E4" t="s">
        <v>14</v>
      </c>
      <c r="F4" t="s">
        <v>50</v>
      </c>
      <c r="G4" t="s">
        <v>16</v>
      </c>
      <c r="H4" t="s">
        <v>37</v>
      </c>
      <c r="I4" t="s">
        <v>69</v>
      </c>
      <c r="J4" t="s">
        <v>18</v>
      </c>
      <c r="K4" t="s">
        <v>20</v>
      </c>
      <c r="L4" t="s">
        <v>39</v>
      </c>
      <c r="M4">
        <f t="shared" si="0"/>
        <v>6</v>
      </c>
      <c r="N4">
        <f t="shared" si="1"/>
        <v>3</v>
      </c>
      <c r="O4" t="str">
        <f t="shared" si="2"/>
        <v>Breached</v>
      </c>
      <c r="P4" t="str">
        <f t="shared" si="3"/>
        <v>Nov</v>
      </c>
      <c r="Q4">
        <f t="shared" si="4"/>
        <v>2025</v>
      </c>
      <c r="R4" t="str">
        <f t="shared" si="5"/>
        <v>Closed</v>
      </c>
      <c r="S4" t="str">
        <f t="shared" si="6"/>
        <v>Nov</v>
      </c>
    </row>
    <row r="5" spans="1:19" x14ac:dyDescent="0.25">
      <c r="A5" t="s">
        <v>27</v>
      </c>
      <c r="B5" s="1">
        <v>45843</v>
      </c>
      <c r="C5" s="1">
        <v>45843</v>
      </c>
      <c r="D5" t="s">
        <v>28</v>
      </c>
      <c r="E5" t="s">
        <v>29</v>
      </c>
      <c r="F5" t="s">
        <v>30</v>
      </c>
      <c r="G5" t="s">
        <v>31</v>
      </c>
      <c r="H5" t="s">
        <v>32</v>
      </c>
      <c r="I5" t="s">
        <v>33</v>
      </c>
      <c r="J5" t="s">
        <v>34</v>
      </c>
      <c r="K5" t="s">
        <v>19</v>
      </c>
      <c r="L5" t="s">
        <v>19</v>
      </c>
      <c r="M5">
        <f t="shared" si="0"/>
        <v>0</v>
      </c>
      <c r="N5">
        <f t="shared" si="1"/>
        <v>1</v>
      </c>
      <c r="O5" t="str">
        <f t="shared" si="2"/>
        <v>Met</v>
      </c>
      <c r="P5" t="str">
        <f t="shared" si="3"/>
        <v>Jul</v>
      </c>
      <c r="Q5">
        <f t="shared" si="4"/>
        <v>2025</v>
      </c>
      <c r="R5" t="str">
        <f t="shared" si="5"/>
        <v>Closed</v>
      </c>
      <c r="S5" t="str">
        <f t="shared" si="6"/>
        <v>Jul</v>
      </c>
    </row>
    <row r="6" spans="1:19" x14ac:dyDescent="0.25">
      <c r="A6" t="s">
        <v>35</v>
      </c>
      <c r="B6" s="1">
        <v>45894</v>
      </c>
      <c r="C6" s="1">
        <v>45902</v>
      </c>
      <c r="D6" t="s">
        <v>13</v>
      </c>
      <c r="E6" t="s">
        <v>29</v>
      </c>
      <c r="F6" t="s">
        <v>36</v>
      </c>
      <c r="G6" t="s">
        <v>16</v>
      </c>
      <c r="H6" t="s">
        <v>37</v>
      </c>
      <c r="I6" t="s">
        <v>38</v>
      </c>
      <c r="J6" t="s">
        <v>18</v>
      </c>
      <c r="K6" t="s">
        <v>39</v>
      </c>
      <c r="L6" t="s">
        <v>20</v>
      </c>
      <c r="M6">
        <f t="shared" si="0"/>
        <v>8</v>
      </c>
      <c r="N6">
        <f t="shared" si="1"/>
        <v>7</v>
      </c>
      <c r="O6" t="str">
        <f t="shared" si="2"/>
        <v>Breached</v>
      </c>
      <c r="P6" t="str">
        <f t="shared" si="3"/>
        <v>Aug</v>
      </c>
      <c r="Q6">
        <f t="shared" si="4"/>
        <v>2025</v>
      </c>
      <c r="R6" t="str">
        <f t="shared" si="5"/>
        <v>Closed</v>
      </c>
      <c r="S6" t="str">
        <f t="shared" si="6"/>
        <v>Sep</v>
      </c>
    </row>
    <row r="7" spans="1:19" x14ac:dyDescent="0.25">
      <c r="A7" t="s">
        <v>40</v>
      </c>
      <c r="B7" s="1">
        <v>45945</v>
      </c>
      <c r="C7" s="1">
        <v>45952</v>
      </c>
      <c r="D7" t="s">
        <v>13</v>
      </c>
      <c r="E7" t="s">
        <v>29</v>
      </c>
      <c r="F7" t="s">
        <v>41</v>
      </c>
      <c r="G7" t="s">
        <v>42</v>
      </c>
      <c r="H7" t="s">
        <v>43</v>
      </c>
      <c r="I7" t="s">
        <v>33</v>
      </c>
      <c r="J7" t="s">
        <v>26</v>
      </c>
      <c r="K7" t="s">
        <v>19</v>
      </c>
      <c r="L7" t="s">
        <v>39</v>
      </c>
      <c r="M7">
        <f t="shared" si="0"/>
        <v>7</v>
      </c>
      <c r="N7">
        <f t="shared" si="1"/>
        <v>7</v>
      </c>
      <c r="O7" t="str">
        <f t="shared" si="2"/>
        <v>Met</v>
      </c>
      <c r="P7" t="str">
        <f t="shared" si="3"/>
        <v>Oct</v>
      </c>
      <c r="Q7">
        <f t="shared" si="4"/>
        <v>2025</v>
      </c>
      <c r="R7" t="str">
        <f t="shared" si="5"/>
        <v>Closed</v>
      </c>
      <c r="S7" t="str">
        <f t="shared" si="6"/>
        <v>Oct</v>
      </c>
    </row>
    <row r="8" spans="1:19" x14ac:dyDescent="0.25">
      <c r="A8" t="s">
        <v>44</v>
      </c>
      <c r="B8" s="1">
        <v>45716</v>
      </c>
      <c r="C8" s="1">
        <v>45716</v>
      </c>
      <c r="D8" t="s">
        <v>45</v>
      </c>
      <c r="E8" t="s">
        <v>14</v>
      </c>
      <c r="F8" t="s">
        <v>36</v>
      </c>
      <c r="G8" t="s">
        <v>31</v>
      </c>
      <c r="H8" t="s">
        <v>46</v>
      </c>
      <c r="I8" t="s">
        <v>47</v>
      </c>
      <c r="J8" t="s">
        <v>34</v>
      </c>
      <c r="K8" t="s">
        <v>39</v>
      </c>
      <c r="L8" t="s">
        <v>20</v>
      </c>
      <c r="M8">
        <f t="shared" si="0"/>
        <v>0</v>
      </c>
      <c r="N8">
        <f t="shared" si="1"/>
        <v>5</v>
      </c>
      <c r="O8" t="str">
        <f t="shared" si="2"/>
        <v>Met</v>
      </c>
      <c r="P8" t="str">
        <f t="shared" si="3"/>
        <v>Feb</v>
      </c>
      <c r="Q8">
        <f t="shared" si="4"/>
        <v>2025</v>
      </c>
      <c r="R8" t="str">
        <f t="shared" si="5"/>
        <v>Closed</v>
      </c>
      <c r="S8" t="str">
        <f t="shared" si="6"/>
        <v>Feb</v>
      </c>
    </row>
    <row r="9" spans="1:19" x14ac:dyDescent="0.25">
      <c r="A9" t="s">
        <v>48</v>
      </c>
      <c r="B9" s="1">
        <v>45934</v>
      </c>
      <c r="C9" s="1">
        <v>45935</v>
      </c>
      <c r="D9" t="s">
        <v>49</v>
      </c>
      <c r="E9" t="s">
        <v>14</v>
      </c>
      <c r="F9" t="s">
        <v>50</v>
      </c>
      <c r="G9" t="s">
        <v>42</v>
      </c>
      <c r="H9" t="s">
        <v>51</v>
      </c>
      <c r="I9" t="s">
        <v>52</v>
      </c>
      <c r="J9" t="s">
        <v>18</v>
      </c>
      <c r="K9" t="s">
        <v>19</v>
      </c>
      <c r="L9" t="s">
        <v>39</v>
      </c>
      <c r="M9">
        <f t="shared" si="0"/>
        <v>1</v>
      </c>
      <c r="N9">
        <f t="shared" si="1"/>
        <v>3</v>
      </c>
      <c r="O9" t="str">
        <f t="shared" si="2"/>
        <v>Met</v>
      </c>
      <c r="P9" t="str">
        <f t="shared" si="3"/>
        <v>Oct</v>
      </c>
      <c r="Q9">
        <f t="shared" si="4"/>
        <v>2025</v>
      </c>
      <c r="R9" t="str">
        <f t="shared" si="5"/>
        <v>Closed</v>
      </c>
      <c r="S9" t="str">
        <f t="shared" si="6"/>
        <v>Oct</v>
      </c>
    </row>
    <row r="10" spans="1:19" x14ac:dyDescent="0.25">
      <c r="A10" t="s">
        <v>53</v>
      </c>
      <c r="B10" s="1">
        <v>45968</v>
      </c>
      <c r="C10" s="1">
        <v>45973</v>
      </c>
      <c r="D10" t="s">
        <v>49</v>
      </c>
      <c r="E10" t="s">
        <v>29</v>
      </c>
      <c r="F10" t="s">
        <v>592</v>
      </c>
      <c r="G10" t="s">
        <v>55</v>
      </c>
      <c r="H10" t="s">
        <v>56</v>
      </c>
      <c r="I10" t="s">
        <v>33</v>
      </c>
      <c r="J10" t="s">
        <v>34</v>
      </c>
      <c r="K10" t="s">
        <v>39</v>
      </c>
      <c r="L10" t="s">
        <v>39</v>
      </c>
      <c r="M10">
        <f t="shared" si="0"/>
        <v>5</v>
      </c>
      <c r="N10">
        <f t="shared" si="1"/>
        <v>3</v>
      </c>
      <c r="O10" t="str">
        <f t="shared" si="2"/>
        <v>Breached</v>
      </c>
      <c r="P10" t="str">
        <f t="shared" si="3"/>
        <v>Nov</v>
      </c>
      <c r="Q10">
        <f t="shared" si="4"/>
        <v>2025</v>
      </c>
      <c r="R10" t="str">
        <f t="shared" si="5"/>
        <v>Closed</v>
      </c>
      <c r="S10" t="str">
        <f t="shared" si="6"/>
        <v>Nov</v>
      </c>
    </row>
    <row r="11" spans="1:19" x14ac:dyDescent="0.25">
      <c r="A11" t="s">
        <v>57</v>
      </c>
      <c r="B11" s="1">
        <v>45688</v>
      </c>
      <c r="D11" t="s">
        <v>13</v>
      </c>
      <c r="E11" t="s">
        <v>58</v>
      </c>
      <c r="F11" t="s">
        <v>15</v>
      </c>
      <c r="G11" t="s">
        <v>16</v>
      </c>
      <c r="H11" t="s">
        <v>59</v>
      </c>
      <c r="I11" t="s">
        <v>17</v>
      </c>
      <c r="J11" t="s">
        <v>60</v>
      </c>
      <c r="K11" t="s">
        <v>39</v>
      </c>
      <c r="L11" t="s">
        <v>19</v>
      </c>
      <c r="M11" s="14" t="str">
        <f t="shared" si="0"/>
        <v/>
      </c>
      <c r="N11">
        <f t="shared" si="1"/>
        <v>7</v>
      </c>
      <c r="O11" t="str">
        <f t="shared" si="2"/>
        <v>Open</v>
      </c>
      <c r="P11" t="str">
        <f t="shared" si="3"/>
        <v>Jan</v>
      </c>
      <c r="Q11">
        <f t="shared" si="4"/>
        <v>2025</v>
      </c>
      <c r="R11" t="str">
        <f t="shared" si="5"/>
        <v>Open</v>
      </c>
      <c r="S11" t="str">
        <f t="shared" si="6"/>
        <v>Open</v>
      </c>
    </row>
    <row r="12" spans="1:19" x14ac:dyDescent="0.25">
      <c r="A12" t="s">
        <v>61</v>
      </c>
      <c r="B12" s="1">
        <v>45874</v>
      </c>
      <c r="C12" s="1">
        <v>45875</v>
      </c>
      <c r="D12" t="s">
        <v>28</v>
      </c>
      <c r="E12" t="s">
        <v>29</v>
      </c>
      <c r="F12" t="s">
        <v>22</v>
      </c>
      <c r="G12" t="s">
        <v>31</v>
      </c>
      <c r="H12" t="s">
        <v>62</v>
      </c>
      <c r="I12" t="s">
        <v>38</v>
      </c>
      <c r="J12" t="s">
        <v>60</v>
      </c>
      <c r="K12" t="s">
        <v>39</v>
      </c>
      <c r="L12" t="s">
        <v>19</v>
      </c>
      <c r="M12">
        <f t="shared" si="0"/>
        <v>1</v>
      </c>
      <c r="N12">
        <f t="shared" si="1"/>
        <v>1</v>
      </c>
      <c r="O12" t="str">
        <f t="shared" si="2"/>
        <v>Met</v>
      </c>
      <c r="P12" t="str">
        <f t="shared" si="3"/>
        <v>Aug</v>
      </c>
      <c r="Q12">
        <f t="shared" si="4"/>
        <v>2025</v>
      </c>
      <c r="R12" t="str">
        <f t="shared" si="5"/>
        <v>Closed</v>
      </c>
      <c r="S12" t="str">
        <f t="shared" si="6"/>
        <v>Aug</v>
      </c>
    </row>
    <row r="13" spans="1:19" x14ac:dyDescent="0.25">
      <c r="A13" t="s">
        <v>63</v>
      </c>
      <c r="B13" s="1">
        <v>45665</v>
      </c>
      <c r="C13" s="1">
        <v>45665</v>
      </c>
      <c r="D13" t="s">
        <v>13</v>
      </c>
      <c r="E13" t="s">
        <v>14</v>
      </c>
      <c r="F13" t="s">
        <v>36</v>
      </c>
      <c r="G13" t="s">
        <v>42</v>
      </c>
      <c r="H13" t="s">
        <v>51</v>
      </c>
      <c r="I13" t="s">
        <v>17</v>
      </c>
      <c r="J13" t="s">
        <v>34</v>
      </c>
      <c r="K13" t="s">
        <v>20</v>
      </c>
      <c r="L13" t="s">
        <v>39</v>
      </c>
      <c r="M13">
        <f t="shared" si="0"/>
        <v>0</v>
      </c>
      <c r="N13">
        <f t="shared" si="1"/>
        <v>7</v>
      </c>
      <c r="O13" t="str">
        <f t="shared" si="2"/>
        <v>Met</v>
      </c>
      <c r="P13" t="str">
        <f t="shared" si="3"/>
        <v>Jan</v>
      </c>
      <c r="Q13">
        <f t="shared" si="4"/>
        <v>2025</v>
      </c>
      <c r="R13" t="str">
        <f t="shared" si="5"/>
        <v>Closed</v>
      </c>
      <c r="S13" t="str">
        <f t="shared" si="6"/>
        <v>Jan</v>
      </c>
    </row>
    <row r="14" spans="1:19" x14ac:dyDescent="0.25">
      <c r="A14" t="s">
        <v>65</v>
      </c>
      <c r="B14" s="1">
        <v>45954</v>
      </c>
      <c r="C14" s="1">
        <v>45956</v>
      </c>
      <c r="D14" t="s">
        <v>49</v>
      </c>
      <c r="E14" t="s">
        <v>14</v>
      </c>
      <c r="F14" t="s">
        <v>66</v>
      </c>
      <c r="G14" t="s">
        <v>55</v>
      </c>
      <c r="H14" t="s">
        <v>59</v>
      </c>
      <c r="I14" t="s">
        <v>33</v>
      </c>
      <c r="J14" t="s">
        <v>60</v>
      </c>
      <c r="K14" t="s">
        <v>19</v>
      </c>
      <c r="L14" t="s">
        <v>39</v>
      </c>
      <c r="M14">
        <f t="shared" si="0"/>
        <v>2</v>
      </c>
      <c r="N14">
        <f t="shared" si="1"/>
        <v>3</v>
      </c>
      <c r="O14" t="str">
        <f t="shared" si="2"/>
        <v>Met</v>
      </c>
      <c r="P14" t="str">
        <f t="shared" si="3"/>
        <v>Oct</v>
      </c>
      <c r="Q14">
        <f t="shared" si="4"/>
        <v>2025</v>
      </c>
      <c r="R14" t="str">
        <f t="shared" si="5"/>
        <v>Closed</v>
      </c>
      <c r="S14" t="str">
        <f t="shared" si="6"/>
        <v>Oct</v>
      </c>
    </row>
    <row r="15" spans="1:19" x14ac:dyDescent="0.25">
      <c r="A15" t="s">
        <v>67</v>
      </c>
      <c r="B15" s="1">
        <v>45956</v>
      </c>
      <c r="C15" s="1">
        <v>45957</v>
      </c>
      <c r="D15" t="s">
        <v>28</v>
      </c>
      <c r="E15" t="s">
        <v>29</v>
      </c>
      <c r="F15" t="s">
        <v>592</v>
      </c>
      <c r="G15" t="s">
        <v>55</v>
      </c>
      <c r="H15" t="s">
        <v>591</v>
      </c>
      <c r="I15" t="s">
        <v>25</v>
      </c>
      <c r="J15" t="s">
        <v>34</v>
      </c>
      <c r="K15" t="s">
        <v>19</v>
      </c>
      <c r="L15" t="s">
        <v>20</v>
      </c>
      <c r="M15">
        <f t="shared" si="0"/>
        <v>1</v>
      </c>
      <c r="N15">
        <f t="shared" si="1"/>
        <v>1</v>
      </c>
      <c r="O15" t="str">
        <f t="shared" si="2"/>
        <v>Met</v>
      </c>
      <c r="P15" t="str">
        <f t="shared" si="3"/>
        <v>Oct</v>
      </c>
      <c r="Q15">
        <f t="shared" si="4"/>
        <v>2025</v>
      </c>
      <c r="R15" t="str">
        <f t="shared" si="5"/>
        <v>Closed</v>
      </c>
      <c r="S15" t="str">
        <f t="shared" si="6"/>
        <v>Oct</v>
      </c>
    </row>
    <row r="16" spans="1:19" x14ac:dyDescent="0.25">
      <c r="A16" t="s">
        <v>68</v>
      </c>
      <c r="B16" s="1">
        <v>45836</v>
      </c>
      <c r="C16" s="1">
        <v>45839</v>
      </c>
      <c r="D16" t="s">
        <v>49</v>
      </c>
      <c r="E16" t="s">
        <v>14</v>
      </c>
      <c r="F16" t="s">
        <v>36</v>
      </c>
      <c r="G16" t="s">
        <v>31</v>
      </c>
      <c r="H16" t="s">
        <v>46</v>
      </c>
      <c r="I16" t="s">
        <v>69</v>
      </c>
      <c r="J16" t="s">
        <v>26</v>
      </c>
      <c r="K16" t="s">
        <v>19</v>
      </c>
      <c r="L16" t="s">
        <v>39</v>
      </c>
      <c r="M16">
        <f t="shared" si="0"/>
        <v>3</v>
      </c>
      <c r="N16">
        <f t="shared" si="1"/>
        <v>3</v>
      </c>
      <c r="O16" t="str">
        <f t="shared" si="2"/>
        <v>Met</v>
      </c>
      <c r="P16" t="str">
        <f t="shared" si="3"/>
        <v>Jun</v>
      </c>
      <c r="Q16">
        <f t="shared" si="4"/>
        <v>2025</v>
      </c>
      <c r="R16" t="str">
        <f t="shared" si="5"/>
        <v>Closed</v>
      </c>
      <c r="S16" t="str">
        <f t="shared" si="6"/>
        <v>Jul</v>
      </c>
    </row>
    <row r="17" spans="1:19" x14ac:dyDescent="0.25">
      <c r="A17" t="s">
        <v>70</v>
      </c>
      <c r="B17" s="1">
        <v>45762</v>
      </c>
      <c r="C17" s="1">
        <v>45768</v>
      </c>
      <c r="D17" t="s">
        <v>13</v>
      </c>
      <c r="E17" t="s">
        <v>14</v>
      </c>
      <c r="F17" t="s">
        <v>592</v>
      </c>
      <c r="G17" t="s">
        <v>23</v>
      </c>
      <c r="H17" t="s">
        <v>24</v>
      </c>
      <c r="I17" t="s">
        <v>33</v>
      </c>
      <c r="J17" t="s">
        <v>60</v>
      </c>
      <c r="K17" t="s">
        <v>39</v>
      </c>
      <c r="L17" t="s">
        <v>39</v>
      </c>
      <c r="M17">
        <f t="shared" si="0"/>
        <v>6</v>
      </c>
      <c r="N17">
        <f t="shared" si="1"/>
        <v>7</v>
      </c>
      <c r="O17" t="str">
        <f t="shared" si="2"/>
        <v>Met</v>
      </c>
      <c r="P17" t="str">
        <f t="shared" si="3"/>
        <v>Apr</v>
      </c>
      <c r="Q17">
        <f t="shared" si="4"/>
        <v>2025</v>
      </c>
      <c r="R17" t="str">
        <f t="shared" si="5"/>
        <v>Closed</v>
      </c>
      <c r="S17" t="str">
        <f t="shared" si="6"/>
        <v>Apr</v>
      </c>
    </row>
    <row r="18" spans="1:19" x14ac:dyDescent="0.25">
      <c r="A18" t="s">
        <v>71</v>
      </c>
      <c r="B18" s="1">
        <v>46011</v>
      </c>
      <c r="C18" s="1">
        <v>46020</v>
      </c>
      <c r="D18" t="s">
        <v>45</v>
      </c>
      <c r="E18" t="s">
        <v>14</v>
      </c>
      <c r="F18" t="s">
        <v>50</v>
      </c>
      <c r="G18" t="s">
        <v>23</v>
      </c>
      <c r="H18" t="s">
        <v>59</v>
      </c>
      <c r="I18" t="s">
        <v>47</v>
      </c>
      <c r="J18" t="s">
        <v>18</v>
      </c>
      <c r="K18" t="s">
        <v>19</v>
      </c>
      <c r="L18" t="s">
        <v>19</v>
      </c>
      <c r="M18">
        <f t="shared" si="0"/>
        <v>9</v>
      </c>
      <c r="N18">
        <f t="shared" si="1"/>
        <v>5</v>
      </c>
      <c r="O18" t="str">
        <f t="shared" si="2"/>
        <v>Breached</v>
      </c>
      <c r="P18" t="str">
        <f t="shared" si="3"/>
        <v>Dec</v>
      </c>
      <c r="Q18">
        <f t="shared" si="4"/>
        <v>2025</v>
      </c>
      <c r="R18" t="str">
        <f t="shared" si="5"/>
        <v>Closed</v>
      </c>
      <c r="S18" t="str">
        <f t="shared" si="6"/>
        <v>Dec</v>
      </c>
    </row>
    <row r="19" spans="1:19" x14ac:dyDescent="0.25">
      <c r="A19" t="s">
        <v>72</v>
      </c>
      <c r="B19" s="1">
        <v>45779</v>
      </c>
      <c r="C19" s="1">
        <v>45780</v>
      </c>
      <c r="D19" t="s">
        <v>49</v>
      </c>
      <c r="E19" t="s">
        <v>14</v>
      </c>
      <c r="F19" t="s">
        <v>592</v>
      </c>
      <c r="G19" t="s">
        <v>55</v>
      </c>
      <c r="H19" t="s">
        <v>73</v>
      </c>
      <c r="I19" t="s">
        <v>17</v>
      </c>
      <c r="J19" t="s">
        <v>18</v>
      </c>
      <c r="K19" t="s">
        <v>20</v>
      </c>
      <c r="L19" t="s">
        <v>20</v>
      </c>
      <c r="M19">
        <f t="shared" si="0"/>
        <v>1</v>
      </c>
      <c r="N19">
        <f t="shared" si="1"/>
        <v>3</v>
      </c>
      <c r="O19" t="str">
        <f t="shared" si="2"/>
        <v>Met</v>
      </c>
      <c r="P19" t="str">
        <f t="shared" si="3"/>
        <v>May</v>
      </c>
      <c r="Q19">
        <f t="shared" si="4"/>
        <v>2025</v>
      </c>
      <c r="R19" t="str">
        <f t="shared" si="5"/>
        <v>Closed</v>
      </c>
      <c r="S19" t="str">
        <f t="shared" si="6"/>
        <v>May</v>
      </c>
    </row>
    <row r="20" spans="1:19" x14ac:dyDescent="0.25">
      <c r="A20" t="s">
        <v>74</v>
      </c>
      <c r="B20" s="1">
        <v>45774</v>
      </c>
      <c r="D20" t="s">
        <v>28</v>
      </c>
      <c r="E20" t="s">
        <v>58</v>
      </c>
      <c r="F20" t="s">
        <v>50</v>
      </c>
      <c r="G20" t="s">
        <v>42</v>
      </c>
      <c r="H20" t="s">
        <v>51</v>
      </c>
      <c r="I20" t="s">
        <v>25</v>
      </c>
      <c r="J20" t="s">
        <v>26</v>
      </c>
      <c r="K20" t="s">
        <v>39</v>
      </c>
      <c r="L20" t="s">
        <v>19</v>
      </c>
      <c r="M20" t="str">
        <f t="shared" si="0"/>
        <v/>
      </c>
      <c r="N20">
        <f t="shared" si="1"/>
        <v>1</v>
      </c>
      <c r="O20" t="str">
        <f t="shared" si="2"/>
        <v>Open</v>
      </c>
      <c r="P20" t="str">
        <f t="shared" si="3"/>
        <v>Apr</v>
      </c>
      <c r="Q20">
        <f t="shared" si="4"/>
        <v>2025</v>
      </c>
      <c r="R20" t="str">
        <f t="shared" si="5"/>
        <v>Open</v>
      </c>
      <c r="S20" t="str">
        <f t="shared" si="6"/>
        <v>Open</v>
      </c>
    </row>
    <row r="21" spans="1:19" x14ac:dyDescent="0.25">
      <c r="A21" t="s">
        <v>75</v>
      </c>
      <c r="B21" s="1">
        <v>45793</v>
      </c>
      <c r="D21" t="s">
        <v>49</v>
      </c>
      <c r="E21" t="s">
        <v>76</v>
      </c>
      <c r="F21" t="s">
        <v>22</v>
      </c>
      <c r="G21" t="s">
        <v>31</v>
      </c>
      <c r="H21" t="s">
        <v>77</v>
      </c>
      <c r="I21" t="s">
        <v>69</v>
      </c>
      <c r="J21" t="s">
        <v>18</v>
      </c>
      <c r="K21" t="s">
        <v>39</v>
      </c>
      <c r="L21" t="s">
        <v>19</v>
      </c>
      <c r="M21" t="str">
        <f t="shared" si="0"/>
        <v/>
      </c>
      <c r="N21">
        <f t="shared" si="1"/>
        <v>3</v>
      </c>
      <c r="O21" t="str">
        <f t="shared" si="2"/>
        <v>Open</v>
      </c>
      <c r="P21" t="str">
        <f t="shared" si="3"/>
        <v>May</v>
      </c>
      <c r="Q21">
        <f t="shared" si="4"/>
        <v>2025</v>
      </c>
      <c r="R21" t="str">
        <f t="shared" si="5"/>
        <v>Open</v>
      </c>
      <c r="S21" t="str">
        <f t="shared" si="6"/>
        <v>Open</v>
      </c>
    </row>
    <row r="22" spans="1:19" x14ac:dyDescent="0.25">
      <c r="A22" t="s">
        <v>78</v>
      </c>
      <c r="B22" s="1">
        <v>45977</v>
      </c>
      <c r="C22" s="1">
        <v>45981</v>
      </c>
      <c r="D22" t="s">
        <v>45</v>
      </c>
      <c r="E22" t="s">
        <v>29</v>
      </c>
      <c r="F22" t="s">
        <v>592</v>
      </c>
      <c r="G22" t="s">
        <v>42</v>
      </c>
      <c r="H22" t="s">
        <v>79</v>
      </c>
      <c r="I22" t="s">
        <v>38</v>
      </c>
      <c r="J22" t="s">
        <v>60</v>
      </c>
      <c r="K22" t="s">
        <v>20</v>
      </c>
      <c r="L22" t="s">
        <v>20</v>
      </c>
      <c r="M22">
        <f t="shared" si="0"/>
        <v>4</v>
      </c>
      <c r="N22">
        <f t="shared" si="1"/>
        <v>5</v>
      </c>
      <c r="O22" t="str">
        <f t="shared" si="2"/>
        <v>Met</v>
      </c>
      <c r="P22" t="str">
        <f t="shared" si="3"/>
        <v>Nov</v>
      </c>
      <c r="Q22">
        <f t="shared" si="4"/>
        <v>2025</v>
      </c>
      <c r="R22" t="str">
        <f t="shared" si="5"/>
        <v>Closed</v>
      </c>
      <c r="S22" t="str">
        <f t="shared" si="6"/>
        <v>Nov</v>
      </c>
    </row>
    <row r="23" spans="1:19" x14ac:dyDescent="0.25">
      <c r="A23" t="s">
        <v>80</v>
      </c>
      <c r="B23" s="1">
        <v>45954</v>
      </c>
      <c r="C23" s="1">
        <v>45957</v>
      </c>
      <c r="D23" t="s">
        <v>49</v>
      </c>
      <c r="E23" t="s">
        <v>14</v>
      </c>
      <c r="F23" t="s">
        <v>66</v>
      </c>
      <c r="G23" t="s">
        <v>55</v>
      </c>
      <c r="H23" t="s">
        <v>59</v>
      </c>
      <c r="I23" t="s">
        <v>47</v>
      </c>
      <c r="J23" t="s">
        <v>34</v>
      </c>
      <c r="K23" t="s">
        <v>39</v>
      </c>
      <c r="L23" t="s">
        <v>39</v>
      </c>
      <c r="M23">
        <f t="shared" si="0"/>
        <v>3</v>
      </c>
      <c r="N23">
        <f t="shared" si="1"/>
        <v>3</v>
      </c>
      <c r="O23" t="str">
        <f t="shared" si="2"/>
        <v>Met</v>
      </c>
      <c r="P23" t="str">
        <f t="shared" si="3"/>
        <v>Oct</v>
      </c>
      <c r="Q23">
        <f t="shared" si="4"/>
        <v>2025</v>
      </c>
      <c r="R23" t="str">
        <f t="shared" si="5"/>
        <v>Closed</v>
      </c>
      <c r="S23" t="str">
        <f t="shared" si="6"/>
        <v>Oct</v>
      </c>
    </row>
    <row r="24" spans="1:19" x14ac:dyDescent="0.25">
      <c r="A24" t="s">
        <v>81</v>
      </c>
      <c r="B24" s="1">
        <v>45901</v>
      </c>
      <c r="C24" s="1">
        <v>45904</v>
      </c>
      <c r="D24" t="s">
        <v>49</v>
      </c>
      <c r="E24" t="s">
        <v>14</v>
      </c>
      <c r="F24" t="s">
        <v>592</v>
      </c>
      <c r="G24" t="s">
        <v>591</v>
      </c>
      <c r="H24" t="s">
        <v>46</v>
      </c>
      <c r="I24" t="s">
        <v>17</v>
      </c>
      <c r="J24" t="s">
        <v>18</v>
      </c>
      <c r="K24" t="s">
        <v>39</v>
      </c>
      <c r="L24" t="s">
        <v>19</v>
      </c>
      <c r="M24">
        <f t="shared" si="0"/>
        <v>3</v>
      </c>
      <c r="N24">
        <f t="shared" si="1"/>
        <v>3</v>
      </c>
      <c r="O24" t="str">
        <f t="shared" si="2"/>
        <v>Met</v>
      </c>
      <c r="P24" t="str">
        <f t="shared" si="3"/>
        <v>Sep</v>
      </c>
      <c r="Q24">
        <f t="shared" si="4"/>
        <v>2025</v>
      </c>
      <c r="R24" t="str">
        <f t="shared" si="5"/>
        <v>Closed</v>
      </c>
      <c r="S24" t="str">
        <f t="shared" si="6"/>
        <v>Sep</v>
      </c>
    </row>
    <row r="25" spans="1:19" x14ac:dyDescent="0.25">
      <c r="A25" t="s">
        <v>82</v>
      </c>
      <c r="B25" s="1">
        <v>45720</v>
      </c>
      <c r="C25" s="1">
        <v>45727</v>
      </c>
      <c r="D25" t="s">
        <v>13</v>
      </c>
      <c r="E25" t="s">
        <v>29</v>
      </c>
      <c r="F25" t="s">
        <v>41</v>
      </c>
      <c r="G25" t="s">
        <v>16</v>
      </c>
      <c r="H25" t="s">
        <v>79</v>
      </c>
      <c r="I25" t="s">
        <v>38</v>
      </c>
      <c r="J25" t="s">
        <v>26</v>
      </c>
      <c r="K25" t="s">
        <v>39</v>
      </c>
      <c r="L25" t="s">
        <v>19</v>
      </c>
      <c r="M25">
        <f t="shared" si="0"/>
        <v>7</v>
      </c>
      <c r="N25">
        <f t="shared" si="1"/>
        <v>7</v>
      </c>
      <c r="O25" t="str">
        <f t="shared" si="2"/>
        <v>Met</v>
      </c>
      <c r="P25" t="str">
        <f t="shared" si="3"/>
        <v>Mar</v>
      </c>
      <c r="Q25">
        <f t="shared" si="4"/>
        <v>2025</v>
      </c>
      <c r="R25" t="str">
        <f t="shared" si="5"/>
        <v>Closed</v>
      </c>
      <c r="S25" t="str">
        <f t="shared" si="6"/>
        <v>Mar</v>
      </c>
    </row>
    <row r="26" spans="1:19" x14ac:dyDescent="0.25">
      <c r="A26" t="s">
        <v>83</v>
      </c>
      <c r="B26" s="1">
        <v>45924</v>
      </c>
      <c r="C26" s="1">
        <v>45925</v>
      </c>
      <c r="D26" t="s">
        <v>45</v>
      </c>
      <c r="E26" t="s">
        <v>29</v>
      </c>
      <c r="F26" t="s">
        <v>22</v>
      </c>
      <c r="G26" t="s">
        <v>31</v>
      </c>
      <c r="H26" t="s">
        <v>56</v>
      </c>
      <c r="I26" t="s">
        <v>33</v>
      </c>
      <c r="J26" t="s">
        <v>18</v>
      </c>
      <c r="K26" t="s">
        <v>20</v>
      </c>
      <c r="L26" t="s">
        <v>39</v>
      </c>
      <c r="M26">
        <f t="shared" si="0"/>
        <v>1</v>
      </c>
      <c r="N26">
        <f t="shared" si="1"/>
        <v>5</v>
      </c>
      <c r="O26" t="str">
        <f t="shared" si="2"/>
        <v>Met</v>
      </c>
      <c r="P26" t="str">
        <f t="shared" si="3"/>
        <v>Sep</v>
      </c>
      <c r="Q26">
        <f t="shared" si="4"/>
        <v>2025</v>
      </c>
      <c r="R26" t="str">
        <f t="shared" si="5"/>
        <v>Closed</v>
      </c>
      <c r="S26" t="str">
        <f t="shared" si="6"/>
        <v>Sep</v>
      </c>
    </row>
    <row r="27" spans="1:19" x14ac:dyDescent="0.25">
      <c r="A27" t="s">
        <v>84</v>
      </c>
      <c r="B27" s="1">
        <v>45873</v>
      </c>
      <c r="C27" s="1">
        <v>45874</v>
      </c>
      <c r="D27" t="s">
        <v>49</v>
      </c>
      <c r="E27" t="s">
        <v>29</v>
      </c>
      <c r="F27" t="s">
        <v>22</v>
      </c>
      <c r="G27" t="s">
        <v>16</v>
      </c>
      <c r="H27" t="s">
        <v>51</v>
      </c>
      <c r="I27" t="s">
        <v>38</v>
      </c>
      <c r="J27" t="s">
        <v>34</v>
      </c>
      <c r="K27" t="s">
        <v>20</v>
      </c>
      <c r="L27" t="s">
        <v>20</v>
      </c>
      <c r="M27">
        <f t="shared" si="0"/>
        <v>1</v>
      </c>
      <c r="N27">
        <f t="shared" si="1"/>
        <v>3</v>
      </c>
      <c r="O27" t="str">
        <f t="shared" si="2"/>
        <v>Met</v>
      </c>
      <c r="P27" t="str">
        <f t="shared" si="3"/>
        <v>Aug</v>
      </c>
      <c r="Q27">
        <f t="shared" si="4"/>
        <v>2025</v>
      </c>
      <c r="R27" t="str">
        <f t="shared" si="5"/>
        <v>Closed</v>
      </c>
      <c r="S27" t="str">
        <f t="shared" si="6"/>
        <v>Aug</v>
      </c>
    </row>
    <row r="28" spans="1:19" x14ac:dyDescent="0.25">
      <c r="A28" t="s">
        <v>86</v>
      </c>
      <c r="B28" s="1">
        <v>45857</v>
      </c>
      <c r="C28" s="1">
        <v>45860</v>
      </c>
      <c r="D28" t="s">
        <v>45</v>
      </c>
      <c r="E28" t="s">
        <v>29</v>
      </c>
      <c r="F28" t="s">
        <v>36</v>
      </c>
      <c r="G28" t="s">
        <v>42</v>
      </c>
      <c r="H28" t="s">
        <v>24</v>
      </c>
      <c r="I28" t="s">
        <v>38</v>
      </c>
      <c r="J28" t="s">
        <v>26</v>
      </c>
      <c r="K28" t="s">
        <v>39</v>
      </c>
      <c r="L28" t="s">
        <v>20</v>
      </c>
      <c r="M28">
        <f t="shared" si="0"/>
        <v>3</v>
      </c>
      <c r="N28">
        <f t="shared" si="1"/>
        <v>5</v>
      </c>
      <c r="O28" t="str">
        <f t="shared" si="2"/>
        <v>Met</v>
      </c>
      <c r="P28" t="str">
        <f t="shared" si="3"/>
        <v>Jul</v>
      </c>
      <c r="Q28">
        <f t="shared" si="4"/>
        <v>2025</v>
      </c>
      <c r="R28" t="str">
        <f t="shared" si="5"/>
        <v>Closed</v>
      </c>
      <c r="S28" t="str">
        <f t="shared" si="6"/>
        <v>Jul</v>
      </c>
    </row>
    <row r="29" spans="1:19" x14ac:dyDescent="0.25">
      <c r="A29" t="s">
        <v>87</v>
      </c>
      <c r="B29" s="1">
        <v>45852</v>
      </c>
      <c r="C29" s="1">
        <v>45854</v>
      </c>
      <c r="D29" t="s">
        <v>49</v>
      </c>
      <c r="E29" t="s">
        <v>29</v>
      </c>
      <c r="F29" t="s">
        <v>22</v>
      </c>
      <c r="G29" t="s">
        <v>55</v>
      </c>
      <c r="H29" t="s">
        <v>32</v>
      </c>
      <c r="I29" t="s">
        <v>17</v>
      </c>
      <c r="J29" t="s">
        <v>34</v>
      </c>
      <c r="K29" t="s">
        <v>20</v>
      </c>
      <c r="L29" t="s">
        <v>19</v>
      </c>
      <c r="M29">
        <f t="shared" si="0"/>
        <v>2</v>
      </c>
      <c r="N29">
        <f t="shared" si="1"/>
        <v>3</v>
      </c>
      <c r="O29" t="str">
        <f t="shared" si="2"/>
        <v>Met</v>
      </c>
      <c r="P29" t="str">
        <f t="shared" si="3"/>
        <v>Jul</v>
      </c>
      <c r="Q29">
        <f t="shared" si="4"/>
        <v>2025</v>
      </c>
      <c r="R29" t="str">
        <f t="shared" si="5"/>
        <v>Closed</v>
      </c>
      <c r="S29" t="str">
        <f t="shared" si="6"/>
        <v>Jul</v>
      </c>
    </row>
    <row r="30" spans="1:19" x14ac:dyDescent="0.25">
      <c r="A30" t="s">
        <v>89</v>
      </c>
      <c r="B30" s="1">
        <v>45769</v>
      </c>
      <c r="C30" s="1">
        <v>45769</v>
      </c>
      <c r="D30" t="s">
        <v>49</v>
      </c>
      <c r="E30" t="s">
        <v>29</v>
      </c>
      <c r="F30" t="s">
        <v>15</v>
      </c>
      <c r="G30" t="s">
        <v>23</v>
      </c>
      <c r="H30" t="s">
        <v>43</v>
      </c>
      <c r="I30" t="s">
        <v>25</v>
      </c>
      <c r="J30" t="s">
        <v>34</v>
      </c>
      <c r="K30" t="s">
        <v>39</v>
      </c>
      <c r="L30" t="s">
        <v>19</v>
      </c>
      <c r="M30">
        <f t="shared" si="0"/>
        <v>0</v>
      </c>
      <c r="N30">
        <f t="shared" si="1"/>
        <v>3</v>
      </c>
      <c r="O30" t="str">
        <f t="shared" si="2"/>
        <v>Met</v>
      </c>
      <c r="P30" t="str">
        <f t="shared" si="3"/>
        <v>Apr</v>
      </c>
      <c r="Q30">
        <f t="shared" si="4"/>
        <v>2025</v>
      </c>
      <c r="R30" t="str">
        <f t="shared" si="5"/>
        <v>Closed</v>
      </c>
      <c r="S30" t="str">
        <f t="shared" si="6"/>
        <v>Apr</v>
      </c>
    </row>
    <row r="31" spans="1:19" x14ac:dyDescent="0.25">
      <c r="A31" t="s">
        <v>90</v>
      </c>
      <c r="B31" s="1">
        <v>46008</v>
      </c>
      <c r="C31" s="1">
        <v>46011</v>
      </c>
      <c r="D31" t="s">
        <v>13</v>
      </c>
      <c r="E31" t="s">
        <v>14</v>
      </c>
      <c r="F31" t="s">
        <v>22</v>
      </c>
      <c r="G31" t="s">
        <v>42</v>
      </c>
      <c r="H31" t="s">
        <v>92</v>
      </c>
      <c r="I31" t="s">
        <v>52</v>
      </c>
      <c r="J31" t="s">
        <v>34</v>
      </c>
      <c r="K31" t="s">
        <v>20</v>
      </c>
      <c r="L31" t="s">
        <v>39</v>
      </c>
      <c r="M31">
        <f t="shared" si="0"/>
        <v>3</v>
      </c>
      <c r="N31">
        <f t="shared" si="1"/>
        <v>7</v>
      </c>
      <c r="O31" t="str">
        <f t="shared" si="2"/>
        <v>Met</v>
      </c>
      <c r="P31" t="str">
        <f t="shared" si="3"/>
        <v>Dec</v>
      </c>
      <c r="Q31">
        <f t="shared" si="4"/>
        <v>2025</v>
      </c>
      <c r="R31" t="str">
        <f t="shared" si="5"/>
        <v>Closed</v>
      </c>
      <c r="S31" t="str">
        <f t="shared" si="6"/>
        <v>Dec</v>
      </c>
    </row>
    <row r="32" spans="1:19" x14ac:dyDescent="0.25">
      <c r="A32" t="s">
        <v>93</v>
      </c>
      <c r="B32" s="1">
        <v>45991</v>
      </c>
      <c r="C32" s="1">
        <v>45991</v>
      </c>
      <c r="D32" t="s">
        <v>13</v>
      </c>
      <c r="E32" t="s">
        <v>29</v>
      </c>
      <c r="F32" t="s">
        <v>30</v>
      </c>
      <c r="G32" t="s">
        <v>42</v>
      </c>
      <c r="H32" t="s">
        <v>43</v>
      </c>
      <c r="I32" t="s">
        <v>47</v>
      </c>
      <c r="J32" t="s">
        <v>26</v>
      </c>
      <c r="K32" t="s">
        <v>39</v>
      </c>
      <c r="L32" t="s">
        <v>20</v>
      </c>
      <c r="M32">
        <f t="shared" si="0"/>
        <v>0</v>
      </c>
      <c r="N32">
        <f t="shared" si="1"/>
        <v>7</v>
      </c>
      <c r="O32" t="str">
        <f t="shared" si="2"/>
        <v>Met</v>
      </c>
      <c r="P32" t="str">
        <f t="shared" si="3"/>
        <v>Nov</v>
      </c>
      <c r="Q32">
        <f t="shared" si="4"/>
        <v>2025</v>
      </c>
      <c r="R32" t="str">
        <f t="shared" si="5"/>
        <v>Closed</v>
      </c>
      <c r="S32" t="str">
        <f t="shared" si="6"/>
        <v>Nov</v>
      </c>
    </row>
    <row r="33" spans="1:19" x14ac:dyDescent="0.25">
      <c r="A33" t="s">
        <v>94</v>
      </c>
      <c r="B33" s="1">
        <v>45790</v>
      </c>
      <c r="C33" s="1">
        <v>45793</v>
      </c>
      <c r="D33" t="s">
        <v>49</v>
      </c>
      <c r="E33" t="s">
        <v>29</v>
      </c>
      <c r="F33" t="s">
        <v>592</v>
      </c>
      <c r="G33" t="s">
        <v>42</v>
      </c>
      <c r="H33" t="s">
        <v>95</v>
      </c>
      <c r="I33" t="s">
        <v>38</v>
      </c>
      <c r="J33" t="s">
        <v>34</v>
      </c>
      <c r="K33" t="s">
        <v>20</v>
      </c>
      <c r="L33" t="s">
        <v>19</v>
      </c>
      <c r="M33">
        <f t="shared" si="0"/>
        <v>3</v>
      </c>
      <c r="N33">
        <f t="shared" si="1"/>
        <v>3</v>
      </c>
      <c r="O33" t="str">
        <f t="shared" si="2"/>
        <v>Met</v>
      </c>
      <c r="P33" t="str">
        <f t="shared" si="3"/>
        <v>May</v>
      </c>
      <c r="Q33">
        <f t="shared" si="4"/>
        <v>2025</v>
      </c>
      <c r="R33" t="str">
        <f t="shared" si="5"/>
        <v>Closed</v>
      </c>
      <c r="S33" t="str">
        <f t="shared" si="6"/>
        <v>May</v>
      </c>
    </row>
    <row r="34" spans="1:19" x14ac:dyDescent="0.25">
      <c r="A34" t="s">
        <v>96</v>
      </c>
      <c r="B34" s="1">
        <v>45900</v>
      </c>
      <c r="C34" s="1">
        <v>45900</v>
      </c>
      <c r="D34" t="s">
        <v>13</v>
      </c>
      <c r="E34" t="s">
        <v>29</v>
      </c>
      <c r="F34" t="s">
        <v>50</v>
      </c>
      <c r="G34" t="s">
        <v>16</v>
      </c>
      <c r="H34" t="s">
        <v>79</v>
      </c>
      <c r="I34" t="s">
        <v>69</v>
      </c>
      <c r="J34" t="s">
        <v>26</v>
      </c>
      <c r="K34" t="s">
        <v>39</v>
      </c>
      <c r="L34" t="s">
        <v>39</v>
      </c>
      <c r="M34">
        <f t="shared" si="0"/>
        <v>0</v>
      </c>
      <c r="N34">
        <f t="shared" si="1"/>
        <v>7</v>
      </c>
      <c r="O34" t="str">
        <f t="shared" si="2"/>
        <v>Met</v>
      </c>
      <c r="P34" t="str">
        <f t="shared" si="3"/>
        <v>Aug</v>
      </c>
      <c r="Q34">
        <f t="shared" si="4"/>
        <v>2025</v>
      </c>
      <c r="R34" t="str">
        <f t="shared" si="5"/>
        <v>Closed</v>
      </c>
      <c r="S34" t="str">
        <f t="shared" si="6"/>
        <v>Aug</v>
      </c>
    </row>
    <row r="35" spans="1:19" x14ac:dyDescent="0.25">
      <c r="A35" t="s">
        <v>97</v>
      </c>
      <c r="B35" s="1">
        <v>45842</v>
      </c>
      <c r="D35" t="s">
        <v>13</v>
      </c>
      <c r="E35" t="s">
        <v>58</v>
      </c>
      <c r="F35" t="s">
        <v>50</v>
      </c>
      <c r="G35" t="s">
        <v>42</v>
      </c>
      <c r="H35" t="s">
        <v>95</v>
      </c>
      <c r="I35" t="s">
        <v>38</v>
      </c>
      <c r="J35" t="s">
        <v>18</v>
      </c>
      <c r="K35" t="s">
        <v>20</v>
      </c>
      <c r="L35" t="s">
        <v>39</v>
      </c>
      <c r="M35" t="str">
        <f t="shared" si="0"/>
        <v/>
      </c>
      <c r="N35">
        <f t="shared" si="1"/>
        <v>7</v>
      </c>
      <c r="O35" t="str">
        <f t="shared" si="2"/>
        <v>Open</v>
      </c>
      <c r="P35" t="str">
        <f t="shared" si="3"/>
        <v>Jul</v>
      </c>
      <c r="Q35">
        <f t="shared" si="4"/>
        <v>2025</v>
      </c>
      <c r="R35" t="str">
        <f t="shared" si="5"/>
        <v>Open</v>
      </c>
      <c r="S35" t="str">
        <f t="shared" si="6"/>
        <v>Open</v>
      </c>
    </row>
    <row r="36" spans="1:19" x14ac:dyDescent="0.25">
      <c r="A36" t="s">
        <v>99</v>
      </c>
      <c r="B36" s="1">
        <v>45787</v>
      </c>
      <c r="C36" s="1">
        <v>45790</v>
      </c>
      <c r="D36" t="s">
        <v>49</v>
      </c>
      <c r="E36" t="s">
        <v>14</v>
      </c>
      <c r="F36" t="s">
        <v>36</v>
      </c>
      <c r="G36" t="s">
        <v>31</v>
      </c>
      <c r="H36" t="s">
        <v>77</v>
      </c>
      <c r="I36" t="s">
        <v>47</v>
      </c>
      <c r="J36" t="s">
        <v>18</v>
      </c>
      <c r="K36" t="s">
        <v>20</v>
      </c>
      <c r="L36" t="s">
        <v>20</v>
      </c>
      <c r="M36">
        <f t="shared" si="0"/>
        <v>3</v>
      </c>
      <c r="N36">
        <f t="shared" si="1"/>
        <v>3</v>
      </c>
      <c r="O36" t="str">
        <f t="shared" si="2"/>
        <v>Met</v>
      </c>
      <c r="P36" t="str">
        <f t="shared" si="3"/>
        <v>May</v>
      </c>
      <c r="Q36">
        <f t="shared" si="4"/>
        <v>2025</v>
      </c>
      <c r="R36" t="str">
        <f t="shared" si="5"/>
        <v>Closed</v>
      </c>
      <c r="S36" t="str">
        <f t="shared" si="6"/>
        <v>May</v>
      </c>
    </row>
    <row r="37" spans="1:19" x14ac:dyDescent="0.25">
      <c r="A37" t="s">
        <v>100</v>
      </c>
      <c r="B37" s="1">
        <v>45959</v>
      </c>
      <c r="C37" s="1">
        <v>45964</v>
      </c>
      <c r="D37" t="s">
        <v>13</v>
      </c>
      <c r="E37" t="s">
        <v>14</v>
      </c>
      <c r="F37" t="s">
        <v>30</v>
      </c>
      <c r="G37" t="s">
        <v>16</v>
      </c>
      <c r="H37" t="s">
        <v>95</v>
      </c>
      <c r="I37" t="s">
        <v>69</v>
      </c>
      <c r="J37" t="s">
        <v>60</v>
      </c>
      <c r="K37" t="s">
        <v>39</v>
      </c>
      <c r="L37" t="s">
        <v>20</v>
      </c>
      <c r="M37">
        <f t="shared" si="0"/>
        <v>5</v>
      </c>
      <c r="N37">
        <f t="shared" si="1"/>
        <v>7</v>
      </c>
      <c r="O37" t="str">
        <f t="shared" si="2"/>
        <v>Met</v>
      </c>
      <c r="P37" t="str">
        <f t="shared" si="3"/>
        <v>Oct</v>
      </c>
      <c r="Q37">
        <f t="shared" si="4"/>
        <v>2025</v>
      </c>
      <c r="R37" t="str">
        <f t="shared" si="5"/>
        <v>Closed</v>
      </c>
      <c r="S37" t="str">
        <f t="shared" si="6"/>
        <v>Nov</v>
      </c>
    </row>
    <row r="38" spans="1:19" x14ac:dyDescent="0.25">
      <c r="A38" t="s">
        <v>101</v>
      </c>
      <c r="B38" s="1">
        <v>46017</v>
      </c>
      <c r="C38" s="1">
        <v>46018</v>
      </c>
      <c r="D38" t="s">
        <v>45</v>
      </c>
      <c r="E38" t="s">
        <v>14</v>
      </c>
      <c r="F38" t="s">
        <v>30</v>
      </c>
      <c r="G38" t="s">
        <v>31</v>
      </c>
      <c r="H38" t="s">
        <v>79</v>
      </c>
      <c r="I38" t="s">
        <v>38</v>
      </c>
      <c r="J38" t="s">
        <v>60</v>
      </c>
      <c r="K38" t="s">
        <v>20</v>
      </c>
      <c r="L38" t="s">
        <v>19</v>
      </c>
      <c r="M38">
        <f t="shared" si="0"/>
        <v>1</v>
      </c>
      <c r="N38">
        <f t="shared" si="1"/>
        <v>5</v>
      </c>
      <c r="O38" t="str">
        <f t="shared" si="2"/>
        <v>Met</v>
      </c>
      <c r="P38" t="str">
        <f t="shared" si="3"/>
        <v>Dec</v>
      </c>
      <c r="Q38">
        <f t="shared" si="4"/>
        <v>2025</v>
      </c>
      <c r="R38" t="str">
        <f t="shared" si="5"/>
        <v>Closed</v>
      </c>
      <c r="S38" t="str">
        <f t="shared" si="6"/>
        <v>Dec</v>
      </c>
    </row>
    <row r="39" spans="1:19" x14ac:dyDescent="0.25">
      <c r="A39" t="s">
        <v>102</v>
      </c>
      <c r="B39" s="1">
        <v>45864</v>
      </c>
      <c r="C39" s="1">
        <v>45865</v>
      </c>
      <c r="D39" t="s">
        <v>49</v>
      </c>
      <c r="E39" t="s">
        <v>14</v>
      </c>
      <c r="F39" t="s">
        <v>15</v>
      </c>
      <c r="G39" t="s">
        <v>16</v>
      </c>
      <c r="H39" t="s">
        <v>62</v>
      </c>
      <c r="I39" t="s">
        <v>38</v>
      </c>
      <c r="J39" t="s">
        <v>18</v>
      </c>
      <c r="K39" t="s">
        <v>20</v>
      </c>
      <c r="L39" t="s">
        <v>39</v>
      </c>
      <c r="M39">
        <f t="shared" si="0"/>
        <v>1</v>
      </c>
      <c r="N39">
        <f t="shared" si="1"/>
        <v>3</v>
      </c>
      <c r="O39" t="str">
        <f t="shared" si="2"/>
        <v>Met</v>
      </c>
      <c r="P39" t="str">
        <f t="shared" si="3"/>
        <v>Jul</v>
      </c>
      <c r="Q39">
        <f t="shared" si="4"/>
        <v>2025</v>
      </c>
      <c r="R39" t="str">
        <f t="shared" si="5"/>
        <v>Closed</v>
      </c>
      <c r="S39" t="str">
        <f t="shared" si="6"/>
        <v>Jul</v>
      </c>
    </row>
    <row r="40" spans="1:19" x14ac:dyDescent="0.25">
      <c r="A40" t="s">
        <v>104</v>
      </c>
      <c r="B40" s="1">
        <v>45881</v>
      </c>
      <c r="C40" s="1">
        <v>45882</v>
      </c>
      <c r="D40" t="s">
        <v>28</v>
      </c>
      <c r="E40" t="s">
        <v>14</v>
      </c>
      <c r="F40" t="s">
        <v>15</v>
      </c>
      <c r="G40" t="s">
        <v>42</v>
      </c>
      <c r="H40" t="s">
        <v>51</v>
      </c>
      <c r="I40" t="s">
        <v>69</v>
      </c>
      <c r="J40" t="s">
        <v>26</v>
      </c>
      <c r="K40" t="s">
        <v>20</v>
      </c>
      <c r="L40" t="s">
        <v>39</v>
      </c>
      <c r="M40">
        <f t="shared" si="0"/>
        <v>1</v>
      </c>
      <c r="N40">
        <f t="shared" si="1"/>
        <v>1</v>
      </c>
      <c r="O40" t="str">
        <f t="shared" si="2"/>
        <v>Met</v>
      </c>
      <c r="P40" t="str">
        <f t="shared" si="3"/>
        <v>Aug</v>
      </c>
      <c r="Q40">
        <f t="shared" si="4"/>
        <v>2025</v>
      </c>
      <c r="R40" t="str">
        <f t="shared" si="5"/>
        <v>Closed</v>
      </c>
      <c r="S40" t="str">
        <f t="shared" si="6"/>
        <v>Aug</v>
      </c>
    </row>
    <row r="41" spans="1:19" x14ac:dyDescent="0.25">
      <c r="A41" t="s">
        <v>105</v>
      </c>
      <c r="B41" s="1">
        <v>45864</v>
      </c>
      <c r="C41" s="1">
        <v>45871</v>
      </c>
      <c r="D41" t="s">
        <v>13</v>
      </c>
      <c r="E41" t="s">
        <v>14</v>
      </c>
      <c r="F41" t="s">
        <v>22</v>
      </c>
      <c r="G41" t="s">
        <v>23</v>
      </c>
      <c r="H41" t="s">
        <v>106</v>
      </c>
      <c r="I41" t="s">
        <v>25</v>
      </c>
      <c r="J41" t="s">
        <v>60</v>
      </c>
      <c r="K41" t="s">
        <v>19</v>
      </c>
      <c r="L41" t="s">
        <v>19</v>
      </c>
      <c r="M41">
        <f t="shared" si="0"/>
        <v>7</v>
      </c>
      <c r="N41">
        <f t="shared" si="1"/>
        <v>7</v>
      </c>
      <c r="O41" t="str">
        <f t="shared" si="2"/>
        <v>Met</v>
      </c>
      <c r="P41" t="str">
        <f t="shared" si="3"/>
        <v>Jul</v>
      </c>
      <c r="Q41">
        <f t="shared" si="4"/>
        <v>2025</v>
      </c>
      <c r="R41" t="str">
        <f t="shared" si="5"/>
        <v>Closed</v>
      </c>
      <c r="S41" t="str">
        <f t="shared" si="6"/>
        <v>Aug</v>
      </c>
    </row>
    <row r="42" spans="1:19" x14ac:dyDescent="0.25">
      <c r="A42" t="s">
        <v>107</v>
      </c>
      <c r="B42" s="1">
        <v>46021</v>
      </c>
      <c r="D42" t="s">
        <v>45</v>
      </c>
      <c r="E42" t="s">
        <v>58</v>
      </c>
      <c r="F42" t="s">
        <v>15</v>
      </c>
      <c r="G42" t="s">
        <v>31</v>
      </c>
      <c r="H42" t="s">
        <v>106</v>
      </c>
      <c r="I42" t="s">
        <v>38</v>
      </c>
      <c r="J42" t="s">
        <v>18</v>
      </c>
      <c r="K42" t="s">
        <v>20</v>
      </c>
      <c r="L42" t="s">
        <v>39</v>
      </c>
      <c r="M42" t="str">
        <f t="shared" si="0"/>
        <v/>
      </c>
      <c r="N42">
        <f t="shared" si="1"/>
        <v>5</v>
      </c>
      <c r="O42" t="str">
        <f t="shared" si="2"/>
        <v>Open</v>
      </c>
      <c r="P42" t="str">
        <f t="shared" si="3"/>
        <v>Dec</v>
      </c>
      <c r="Q42">
        <f t="shared" si="4"/>
        <v>2025</v>
      </c>
      <c r="R42" t="str">
        <f t="shared" si="5"/>
        <v>Open</v>
      </c>
      <c r="S42" t="str">
        <f t="shared" si="6"/>
        <v>Open</v>
      </c>
    </row>
    <row r="43" spans="1:19" x14ac:dyDescent="0.25">
      <c r="A43" t="s">
        <v>108</v>
      </c>
      <c r="B43" s="1">
        <v>45732</v>
      </c>
      <c r="C43" s="1">
        <v>45735</v>
      </c>
      <c r="D43" t="s">
        <v>45</v>
      </c>
      <c r="E43" t="s">
        <v>29</v>
      </c>
      <c r="F43" t="s">
        <v>50</v>
      </c>
      <c r="G43" t="s">
        <v>42</v>
      </c>
      <c r="H43" t="s">
        <v>24</v>
      </c>
      <c r="I43" t="s">
        <v>69</v>
      </c>
      <c r="J43" t="s">
        <v>18</v>
      </c>
      <c r="K43" t="s">
        <v>20</v>
      </c>
      <c r="L43" t="s">
        <v>20</v>
      </c>
      <c r="M43">
        <f t="shared" si="0"/>
        <v>3</v>
      </c>
      <c r="N43">
        <f t="shared" si="1"/>
        <v>5</v>
      </c>
      <c r="O43" t="str">
        <f t="shared" si="2"/>
        <v>Met</v>
      </c>
      <c r="P43" t="str">
        <f t="shared" si="3"/>
        <v>Mar</v>
      </c>
      <c r="Q43">
        <f t="shared" si="4"/>
        <v>2025</v>
      </c>
      <c r="R43" t="str">
        <f t="shared" si="5"/>
        <v>Closed</v>
      </c>
      <c r="S43" t="str">
        <f t="shared" si="6"/>
        <v>Mar</v>
      </c>
    </row>
    <row r="44" spans="1:19" x14ac:dyDescent="0.25">
      <c r="A44" t="s">
        <v>109</v>
      </c>
      <c r="B44" s="1">
        <v>46015</v>
      </c>
      <c r="D44" t="s">
        <v>28</v>
      </c>
      <c r="E44" t="s">
        <v>58</v>
      </c>
      <c r="F44" t="s">
        <v>592</v>
      </c>
      <c r="G44" t="s">
        <v>42</v>
      </c>
      <c r="H44" t="s">
        <v>110</v>
      </c>
      <c r="I44" t="s">
        <v>17</v>
      </c>
      <c r="J44" t="s">
        <v>26</v>
      </c>
      <c r="K44" t="s">
        <v>39</v>
      </c>
      <c r="L44" t="s">
        <v>20</v>
      </c>
      <c r="M44" t="str">
        <f t="shared" si="0"/>
        <v/>
      </c>
      <c r="N44">
        <f t="shared" si="1"/>
        <v>1</v>
      </c>
      <c r="O44" t="str">
        <f t="shared" si="2"/>
        <v>Open</v>
      </c>
      <c r="P44" t="str">
        <f t="shared" si="3"/>
        <v>Dec</v>
      </c>
      <c r="Q44">
        <f t="shared" si="4"/>
        <v>2025</v>
      </c>
      <c r="R44" t="str">
        <f t="shared" si="5"/>
        <v>Open</v>
      </c>
      <c r="S44" t="str">
        <f t="shared" si="6"/>
        <v>Open</v>
      </c>
    </row>
    <row r="45" spans="1:19" x14ac:dyDescent="0.25">
      <c r="A45" t="s">
        <v>111</v>
      </c>
      <c r="B45" s="1">
        <v>45891</v>
      </c>
      <c r="D45" t="s">
        <v>13</v>
      </c>
      <c r="E45" t="s">
        <v>76</v>
      </c>
      <c r="F45" t="s">
        <v>66</v>
      </c>
      <c r="G45" t="s">
        <v>42</v>
      </c>
      <c r="H45" t="s">
        <v>37</v>
      </c>
      <c r="I45" t="s">
        <v>69</v>
      </c>
      <c r="J45" t="s">
        <v>18</v>
      </c>
      <c r="K45" t="s">
        <v>19</v>
      </c>
      <c r="L45" t="s">
        <v>39</v>
      </c>
      <c r="M45" t="str">
        <f t="shared" si="0"/>
        <v/>
      </c>
      <c r="N45">
        <f t="shared" si="1"/>
        <v>7</v>
      </c>
      <c r="O45" t="str">
        <f t="shared" si="2"/>
        <v>Open</v>
      </c>
      <c r="P45" t="str">
        <f t="shared" si="3"/>
        <v>Aug</v>
      </c>
      <c r="Q45">
        <f t="shared" si="4"/>
        <v>2025</v>
      </c>
      <c r="R45" t="str">
        <f t="shared" si="5"/>
        <v>Open</v>
      </c>
      <c r="S45" t="str">
        <f t="shared" si="6"/>
        <v>Open</v>
      </c>
    </row>
    <row r="46" spans="1:19" x14ac:dyDescent="0.25">
      <c r="A46" t="s">
        <v>112</v>
      </c>
      <c r="B46" s="1">
        <v>45778</v>
      </c>
      <c r="C46" s="1">
        <v>45781</v>
      </c>
      <c r="D46" t="s">
        <v>49</v>
      </c>
      <c r="E46" t="s">
        <v>14</v>
      </c>
      <c r="F46" t="s">
        <v>15</v>
      </c>
      <c r="G46" t="s">
        <v>55</v>
      </c>
      <c r="H46" t="s">
        <v>92</v>
      </c>
      <c r="I46" t="s">
        <v>33</v>
      </c>
      <c r="J46" t="s">
        <v>18</v>
      </c>
      <c r="K46" t="s">
        <v>19</v>
      </c>
      <c r="L46" t="s">
        <v>19</v>
      </c>
      <c r="M46">
        <f t="shared" si="0"/>
        <v>3</v>
      </c>
      <c r="N46">
        <f t="shared" si="1"/>
        <v>3</v>
      </c>
      <c r="O46" t="str">
        <f t="shared" si="2"/>
        <v>Met</v>
      </c>
      <c r="P46" t="str">
        <f t="shared" si="3"/>
        <v>May</v>
      </c>
      <c r="Q46">
        <f t="shared" si="4"/>
        <v>2025</v>
      </c>
      <c r="R46" t="str">
        <f t="shared" si="5"/>
        <v>Closed</v>
      </c>
      <c r="S46" t="str">
        <f t="shared" si="6"/>
        <v>May</v>
      </c>
    </row>
    <row r="47" spans="1:19" x14ac:dyDescent="0.25">
      <c r="A47" t="s">
        <v>113</v>
      </c>
      <c r="B47" s="1">
        <v>45745</v>
      </c>
      <c r="D47" t="s">
        <v>13</v>
      </c>
      <c r="E47" t="s">
        <v>58</v>
      </c>
      <c r="F47" t="s">
        <v>30</v>
      </c>
      <c r="G47" t="s">
        <v>42</v>
      </c>
      <c r="H47" t="s">
        <v>95</v>
      </c>
      <c r="I47" t="s">
        <v>69</v>
      </c>
      <c r="J47" t="s">
        <v>34</v>
      </c>
      <c r="K47" t="s">
        <v>39</v>
      </c>
      <c r="L47" t="s">
        <v>20</v>
      </c>
      <c r="M47" t="str">
        <f t="shared" si="0"/>
        <v/>
      </c>
      <c r="N47">
        <f t="shared" si="1"/>
        <v>7</v>
      </c>
      <c r="O47" t="str">
        <f t="shared" si="2"/>
        <v>Open</v>
      </c>
      <c r="P47" t="str">
        <f t="shared" si="3"/>
        <v>Mar</v>
      </c>
      <c r="Q47">
        <f t="shared" si="4"/>
        <v>2025</v>
      </c>
      <c r="R47" t="str">
        <f t="shared" si="5"/>
        <v>Open</v>
      </c>
      <c r="S47" t="str">
        <f t="shared" si="6"/>
        <v>Open</v>
      </c>
    </row>
    <row r="48" spans="1:19" x14ac:dyDescent="0.25">
      <c r="A48" t="s">
        <v>114</v>
      </c>
      <c r="B48" s="1">
        <v>45958</v>
      </c>
      <c r="C48" s="1">
        <v>45958</v>
      </c>
      <c r="D48" t="s">
        <v>13</v>
      </c>
      <c r="E48" t="s">
        <v>29</v>
      </c>
      <c r="F48" t="s">
        <v>41</v>
      </c>
      <c r="G48" t="s">
        <v>23</v>
      </c>
      <c r="H48" t="s">
        <v>591</v>
      </c>
      <c r="I48" t="s">
        <v>69</v>
      </c>
      <c r="J48" t="s">
        <v>60</v>
      </c>
      <c r="K48" t="s">
        <v>19</v>
      </c>
      <c r="L48" t="s">
        <v>19</v>
      </c>
      <c r="M48">
        <f t="shared" si="0"/>
        <v>0</v>
      </c>
      <c r="N48">
        <f t="shared" si="1"/>
        <v>7</v>
      </c>
      <c r="O48" t="str">
        <f t="shared" si="2"/>
        <v>Met</v>
      </c>
      <c r="P48" t="str">
        <f t="shared" si="3"/>
        <v>Oct</v>
      </c>
      <c r="Q48">
        <f t="shared" si="4"/>
        <v>2025</v>
      </c>
      <c r="R48" t="str">
        <f t="shared" si="5"/>
        <v>Closed</v>
      </c>
      <c r="S48" t="str">
        <f t="shared" si="6"/>
        <v>Oct</v>
      </c>
    </row>
    <row r="49" spans="1:19" x14ac:dyDescent="0.25">
      <c r="A49" t="s">
        <v>114</v>
      </c>
      <c r="B49" s="1">
        <v>46019</v>
      </c>
      <c r="C49" s="1">
        <v>46023</v>
      </c>
      <c r="D49" t="s">
        <v>13</v>
      </c>
      <c r="E49" t="s">
        <v>14</v>
      </c>
      <c r="F49" t="s">
        <v>30</v>
      </c>
      <c r="G49" t="s">
        <v>31</v>
      </c>
      <c r="H49" t="s">
        <v>73</v>
      </c>
      <c r="I49" t="s">
        <v>33</v>
      </c>
      <c r="J49" t="s">
        <v>60</v>
      </c>
      <c r="K49" t="s">
        <v>19</v>
      </c>
      <c r="L49" t="s">
        <v>20</v>
      </c>
      <c r="M49">
        <f t="shared" si="0"/>
        <v>4</v>
      </c>
      <c r="N49">
        <f t="shared" si="1"/>
        <v>7</v>
      </c>
      <c r="O49" t="str">
        <f t="shared" si="2"/>
        <v>Met</v>
      </c>
      <c r="P49" t="str">
        <f t="shared" si="3"/>
        <v>Dec</v>
      </c>
      <c r="Q49">
        <f t="shared" si="4"/>
        <v>2025</v>
      </c>
      <c r="R49" t="str">
        <f t="shared" si="5"/>
        <v>Closed</v>
      </c>
      <c r="S49" t="str">
        <f t="shared" si="6"/>
        <v>Jan</v>
      </c>
    </row>
    <row r="50" spans="1:19" x14ac:dyDescent="0.25">
      <c r="A50" t="s">
        <v>115</v>
      </c>
      <c r="B50" s="1">
        <v>45683</v>
      </c>
      <c r="C50" s="1">
        <v>45687</v>
      </c>
      <c r="D50" t="s">
        <v>13</v>
      </c>
      <c r="E50" t="s">
        <v>14</v>
      </c>
      <c r="F50" t="s">
        <v>22</v>
      </c>
      <c r="G50" t="s">
        <v>31</v>
      </c>
      <c r="H50" t="s">
        <v>73</v>
      </c>
      <c r="I50" t="s">
        <v>25</v>
      </c>
      <c r="J50" t="s">
        <v>26</v>
      </c>
      <c r="K50" t="s">
        <v>19</v>
      </c>
      <c r="L50" t="s">
        <v>39</v>
      </c>
      <c r="M50">
        <f t="shared" si="0"/>
        <v>4</v>
      </c>
      <c r="N50">
        <f t="shared" si="1"/>
        <v>7</v>
      </c>
      <c r="O50" t="str">
        <f t="shared" si="2"/>
        <v>Met</v>
      </c>
      <c r="P50" t="str">
        <f t="shared" si="3"/>
        <v>Jan</v>
      </c>
      <c r="Q50">
        <f t="shared" si="4"/>
        <v>2025</v>
      </c>
      <c r="R50" t="str">
        <f t="shared" si="5"/>
        <v>Closed</v>
      </c>
      <c r="S50" t="str">
        <f t="shared" si="6"/>
        <v>Jan</v>
      </c>
    </row>
    <row r="51" spans="1:19" x14ac:dyDescent="0.25">
      <c r="A51" t="s">
        <v>116</v>
      </c>
      <c r="B51" s="1">
        <v>45809</v>
      </c>
      <c r="C51" s="1">
        <v>45810</v>
      </c>
      <c r="D51" t="s">
        <v>13</v>
      </c>
      <c r="E51" t="s">
        <v>29</v>
      </c>
      <c r="F51" t="s">
        <v>50</v>
      </c>
      <c r="G51" t="s">
        <v>23</v>
      </c>
      <c r="H51" t="s">
        <v>37</v>
      </c>
      <c r="I51" t="s">
        <v>25</v>
      </c>
      <c r="J51" t="s">
        <v>34</v>
      </c>
      <c r="K51" t="s">
        <v>39</v>
      </c>
      <c r="L51" t="s">
        <v>19</v>
      </c>
      <c r="M51">
        <f t="shared" si="0"/>
        <v>1</v>
      </c>
      <c r="N51">
        <f t="shared" si="1"/>
        <v>7</v>
      </c>
      <c r="O51" t="str">
        <f t="shared" si="2"/>
        <v>Met</v>
      </c>
      <c r="P51" t="str">
        <f t="shared" si="3"/>
        <v>Jun</v>
      </c>
      <c r="Q51">
        <f t="shared" si="4"/>
        <v>2025</v>
      </c>
      <c r="R51" t="str">
        <f t="shared" si="5"/>
        <v>Closed</v>
      </c>
      <c r="S51" t="str">
        <f t="shared" si="6"/>
        <v>Jun</v>
      </c>
    </row>
    <row r="52" spans="1:19" x14ac:dyDescent="0.25">
      <c r="A52" t="s">
        <v>117</v>
      </c>
      <c r="B52" s="1">
        <v>45861</v>
      </c>
      <c r="C52" s="1">
        <v>45866</v>
      </c>
      <c r="D52" t="s">
        <v>45</v>
      </c>
      <c r="E52" t="s">
        <v>14</v>
      </c>
      <c r="F52" t="s">
        <v>22</v>
      </c>
      <c r="G52" t="s">
        <v>23</v>
      </c>
      <c r="H52" t="s">
        <v>59</v>
      </c>
      <c r="I52" t="s">
        <v>33</v>
      </c>
      <c r="J52" t="s">
        <v>34</v>
      </c>
      <c r="K52" t="s">
        <v>19</v>
      </c>
      <c r="L52" t="s">
        <v>39</v>
      </c>
      <c r="M52">
        <f t="shared" si="0"/>
        <v>5</v>
      </c>
      <c r="N52">
        <f t="shared" si="1"/>
        <v>5</v>
      </c>
      <c r="O52" t="str">
        <f t="shared" si="2"/>
        <v>Met</v>
      </c>
      <c r="P52" t="str">
        <f t="shared" si="3"/>
        <v>Jul</v>
      </c>
      <c r="Q52">
        <f t="shared" si="4"/>
        <v>2025</v>
      </c>
      <c r="R52" t="str">
        <f t="shared" si="5"/>
        <v>Closed</v>
      </c>
      <c r="S52" t="str">
        <f t="shared" si="6"/>
        <v>Jul</v>
      </c>
    </row>
    <row r="53" spans="1:19" x14ac:dyDescent="0.25">
      <c r="A53" t="s">
        <v>118</v>
      </c>
      <c r="B53" s="1">
        <v>45895</v>
      </c>
      <c r="C53" s="1">
        <v>45896</v>
      </c>
      <c r="D53" t="s">
        <v>49</v>
      </c>
      <c r="E53" t="s">
        <v>14</v>
      </c>
      <c r="F53" t="s">
        <v>41</v>
      </c>
      <c r="G53" t="s">
        <v>23</v>
      </c>
      <c r="H53" t="s">
        <v>51</v>
      </c>
      <c r="I53" t="s">
        <v>38</v>
      </c>
      <c r="J53" t="s">
        <v>60</v>
      </c>
      <c r="K53" t="s">
        <v>20</v>
      </c>
      <c r="L53" t="s">
        <v>19</v>
      </c>
      <c r="M53">
        <f t="shared" si="0"/>
        <v>1</v>
      </c>
      <c r="N53">
        <f t="shared" si="1"/>
        <v>3</v>
      </c>
      <c r="O53" t="str">
        <f t="shared" si="2"/>
        <v>Met</v>
      </c>
      <c r="P53" t="str">
        <f t="shared" si="3"/>
        <v>Aug</v>
      </c>
      <c r="Q53">
        <f t="shared" si="4"/>
        <v>2025</v>
      </c>
      <c r="R53" t="str">
        <f t="shared" si="5"/>
        <v>Closed</v>
      </c>
      <c r="S53" t="str">
        <f t="shared" si="6"/>
        <v>Aug</v>
      </c>
    </row>
    <row r="54" spans="1:19" x14ac:dyDescent="0.25">
      <c r="A54" t="s">
        <v>119</v>
      </c>
      <c r="B54" s="1">
        <v>45801</v>
      </c>
      <c r="D54" t="s">
        <v>28</v>
      </c>
      <c r="E54" t="s">
        <v>76</v>
      </c>
      <c r="F54" t="s">
        <v>30</v>
      </c>
      <c r="G54" t="s">
        <v>23</v>
      </c>
      <c r="H54" t="s">
        <v>62</v>
      </c>
      <c r="I54" t="s">
        <v>47</v>
      </c>
      <c r="J54" t="s">
        <v>18</v>
      </c>
      <c r="K54" t="s">
        <v>39</v>
      </c>
      <c r="L54" t="s">
        <v>19</v>
      </c>
      <c r="M54" t="str">
        <f t="shared" si="0"/>
        <v/>
      </c>
      <c r="N54">
        <f t="shared" si="1"/>
        <v>1</v>
      </c>
      <c r="O54" t="str">
        <f t="shared" si="2"/>
        <v>Open</v>
      </c>
      <c r="P54" t="str">
        <f t="shared" si="3"/>
        <v>May</v>
      </c>
      <c r="Q54">
        <f t="shared" si="4"/>
        <v>2025</v>
      </c>
      <c r="R54" t="str">
        <f t="shared" si="5"/>
        <v>Open</v>
      </c>
      <c r="S54" t="str">
        <f t="shared" si="6"/>
        <v>Open</v>
      </c>
    </row>
    <row r="55" spans="1:19" x14ac:dyDescent="0.25">
      <c r="A55" t="s">
        <v>120</v>
      </c>
      <c r="B55" s="1">
        <v>45985</v>
      </c>
      <c r="C55" s="1">
        <v>45986</v>
      </c>
      <c r="D55" t="s">
        <v>28</v>
      </c>
      <c r="E55" t="s">
        <v>29</v>
      </c>
      <c r="F55" t="s">
        <v>30</v>
      </c>
      <c r="G55" t="s">
        <v>31</v>
      </c>
      <c r="H55" t="s">
        <v>110</v>
      </c>
      <c r="I55" t="s">
        <v>69</v>
      </c>
      <c r="J55" t="s">
        <v>34</v>
      </c>
      <c r="K55" t="s">
        <v>39</v>
      </c>
      <c r="L55" t="s">
        <v>19</v>
      </c>
      <c r="M55">
        <f t="shared" si="0"/>
        <v>1</v>
      </c>
      <c r="N55">
        <f t="shared" si="1"/>
        <v>1</v>
      </c>
      <c r="O55" t="str">
        <f t="shared" si="2"/>
        <v>Met</v>
      </c>
      <c r="P55" t="str">
        <f t="shared" si="3"/>
        <v>Nov</v>
      </c>
      <c r="Q55">
        <f t="shared" si="4"/>
        <v>2025</v>
      </c>
      <c r="R55" t="str">
        <f t="shared" si="5"/>
        <v>Closed</v>
      </c>
      <c r="S55" t="str">
        <f t="shared" si="6"/>
        <v>Nov</v>
      </c>
    </row>
    <row r="56" spans="1:19" x14ac:dyDescent="0.25">
      <c r="A56" t="s">
        <v>121</v>
      </c>
      <c r="B56" s="1">
        <v>45747</v>
      </c>
      <c r="D56" t="s">
        <v>28</v>
      </c>
      <c r="E56" t="s">
        <v>76</v>
      </c>
      <c r="F56" t="s">
        <v>22</v>
      </c>
      <c r="G56" t="s">
        <v>55</v>
      </c>
      <c r="H56" t="s">
        <v>77</v>
      </c>
      <c r="I56" t="s">
        <v>38</v>
      </c>
      <c r="J56" t="s">
        <v>18</v>
      </c>
      <c r="K56" t="s">
        <v>20</v>
      </c>
      <c r="L56" t="s">
        <v>19</v>
      </c>
      <c r="M56" t="str">
        <f t="shared" si="0"/>
        <v/>
      </c>
      <c r="N56">
        <f t="shared" si="1"/>
        <v>1</v>
      </c>
      <c r="O56" t="str">
        <f t="shared" si="2"/>
        <v>Open</v>
      </c>
      <c r="P56" t="str">
        <f t="shared" si="3"/>
        <v>Mar</v>
      </c>
      <c r="Q56">
        <f t="shared" si="4"/>
        <v>2025</v>
      </c>
      <c r="R56" t="str">
        <f t="shared" si="5"/>
        <v>Open</v>
      </c>
      <c r="S56" t="str">
        <f t="shared" si="6"/>
        <v>Open</v>
      </c>
    </row>
    <row r="57" spans="1:19" x14ac:dyDescent="0.25">
      <c r="A57" t="s">
        <v>122</v>
      </c>
      <c r="B57" s="1">
        <v>45889</v>
      </c>
      <c r="C57" s="1">
        <v>45889</v>
      </c>
      <c r="D57" t="s">
        <v>28</v>
      </c>
      <c r="E57" t="s">
        <v>29</v>
      </c>
      <c r="F57" t="s">
        <v>36</v>
      </c>
      <c r="G57" t="s">
        <v>42</v>
      </c>
      <c r="H57" t="s">
        <v>24</v>
      </c>
      <c r="I57" t="s">
        <v>69</v>
      </c>
      <c r="J57" t="s">
        <v>34</v>
      </c>
      <c r="K57" t="s">
        <v>39</v>
      </c>
      <c r="L57" t="s">
        <v>39</v>
      </c>
      <c r="M57">
        <f t="shared" si="0"/>
        <v>0</v>
      </c>
      <c r="N57">
        <f t="shared" si="1"/>
        <v>1</v>
      </c>
      <c r="O57" t="str">
        <f t="shared" si="2"/>
        <v>Met</v>
      </c>
      <c r="P57" t="str">
        <f t="shared" si="3"/>
        <v>Aug</v>
      </c>
      <c r="Q57">
        <f t="shared" si="4"/>
        <v>2025</v>
      </c>
      <c r="R57" t="str">
        <f t="shared" si="5"/>
        <v>Closed</v>
      </c>
      <c r="S57" t="str">
        <f t="shared" si="6"/>
        <v>Aug</v>
      </c>
    </row>
    <row r="58" spans="1:19" x14ac:dyDescent="0.25">
      <c r="A58" t="s">
        <v>123</v>
      </c>
      <c r="B58" s="1">
        <v>45982</v>
      </c>
      <c r="C58" s="1">
        <v>45984</v>
      </c>
      <c r="D58" t="s">
        <v>49</v>
      </c>
      <c r="E58" t="s">
        <v>29</v>
      </c>
      <c r="F58" t="s">
        <v>592</v>
      </c>
      <c r="G58" t="s">
        <v>16</v>
      </c>
      <c r="H58" t="s">
        <v>32</v>
      </c>
      <c r="I58" t="s">
        <v>38</v>
      </c>
      <c r="J58" t="s">
        <v>26</v>
      </c>
      <c r="K58" t="s">
        <v>20</v>
      </c>
      <c r="L58" t="s">
        <v>20</v>
      </c>
      <c r="M58">
        <f t="shared" si="0"/>
        <v>2</v>
      </c>
      <c r="N58">
        <f t="shared" si="1"/>
        <v>3</v>
      </c>
      <c r="O58" t="str">
        <f t="shared" si="2"/>
        <v>Met</v>
      </c>
      <c r="P58" t="str">
        <f t="shared" si="3"/>
        <v>Nov</v>
      </c>
      <c r="Q58">
        <f t="shared" si="4"/>
        <v>2025</v>
      </c>
      <c r="R58" t="str">
        <f t="shared" si="5"/>
        <v>Closed</v>
      </c>
      <c r="S58" t="str">
        <f t="shared" si="6"/>
        <v>Nov</v>
      </c>
    </row>
    <row r="59" spans="1:19" x14ac:dyDescent="0.25">
      <c r="A59" t="s">
        <v>124</v>
      </c>
      <c r="B59" s="1">
        <v>45706</v>
      </c>
      <c r="C59" s="1">
        <v>45708</v>
      </c>
      <c r="D59" t="s">
        <v>45</v>
      </c>
      <c r="E59" t="s">
        <v>29</v>
      </c>
      <c r="F59" t="s">
        <v>15</v>
      </c>
      <c r="G59" t="s">
        <v>23</v>
      </c>
      <c r="H59" t="s">
        <v>51</v>
      </c>
      <c r="I59" t="s">
        <v>52</v>
      </c>
      <c r="J59" t="s">
        <v>60</v>
      </c>
      <c r="K59" t="s">
        <v>20</v>
      </c>
      <c r="L59" t="s">
        <v>20</v>
      </c>
      <c r="M59">
        <f t="shared" si="0"/>
        <v>2</v>
      </c>
      <c r="N59">
        <f t="shared" si="1"/>
        <v>5</v>
      </c>
      <c r="O59" t="str">
        <f t="shared" si="2"/>
        <v>Met</v>
      </c>
      <c r="P59" t="str">
        <f t="shared" si="3"/>
        <v>Feb</v>
      </c>
      <c r="Q59">
        <f t="shared" si="4"/>
        <v>2025</v>
      </c>
      <c r="R59" t="str">
        <f t="shared" si="5"/>
        <v>Closed</v>
      </c>
      <c r="S59" t="str">
        <f t="shared" si="6"/>
        <v>Feb</v>
      </c>
    </row>
    <row r="60" spans="1:19" x14ac:dyDescent="0.25">
      <c r="A60" t="s">
        <v>125</v>
      </c>
      <c r="B60" s="1">
        <v>45874</v>
      </c>
      <c r="C60" s="1">
        <v>45875</v>
      </c>
      <c r="D60" t="s">
        <v>13</v>
      </c>
      <c r="E60" t="s">
        <v>14</v>
      </c>
      <c r="F60" t="s">
        <v>30</v>
      </c>
      <c r="G60" t="s">
        <v>16</v>
      </c>
      <c r="H60" t="s">
        <v>62</v>
      </c>
      <c r="I60" t="s">
        <v>47</v>
      </c>
      <c r="J60" t="s">
        <v>60</v>
      </c>
      <c r="K60" t="s">
        <v>19</v>
      </c>
      <c r="L60" t="s">
        <v>19</v>
      </c>
      <c r="M60">
        <f t="shared" si="0"/>
        <v>1</v>
      </c>
      <c r="N60">
        <f t="shared" si="1"/>
        <v>7</v>
      </c>
      <c r="O60" t="str">
        <f t="shared" si="2"/>
        <v>Met</v>
      </c>
      <c r="P60" t="str">
        <f t="shared" si="3"/>
        <v>Aug</v>
      </c>
      <c r="Q60">
        <f t="shared" si="4"/>
        <v>2025</v>
      </c>
      <c r="R60" t="str">
        <f t="shared" si="5"/>
        <v>Closed</v>
      </c>
      <c r="S60" t="str">
        <f t="shared" si="6"/>
        <v>Aug</v>
      </c>
    </row>
    <row r="61" spans="1:19" x14ac:dyDescent="0.25">
      <c r="A61" t="s">
        <v>126</v>
      </c>
      <c r="B61" s="1">
        <v>45794</v>
      </c>
      <c r="D61" t="s">
        <v>49</v>
      </c>
      <c r="E61" t="s">
        <v>76</v>
      </c>
      <c r="F61" t="s">
        <v>22</v>
      </c>
      <c r="G61" t="s">
        <v>55</v>
      </c>
      <c r="H61" t="s">
        <v>95</v>
      </c>
      <c r="I61" t="s">
        <v>38</v>
      </c>
      <c r="J61" t="s">
        <v>18</v>
      </c>
      <c r="K61" t="s">
        <v>20</v>
      </c>
      <c r="L61" t="s">
        <v>20</v>
      </c>
      <c r="M61" t="str">
        <f t="shared" si="0"/>
        <v/>
      </c>
      <c r="N61">
        <f t="shared" si="1"/>
        <v>3</v>
      </c>
      <c r="O61" t="str">
        <f t="shared" si="2"/>
        <v>Open</v>
      </c>
      <c r="P61" t="str">
        <f t="shared" si="3"/>
        <v>May</v>
      </c>
      <c r="Q61">
        <f t="shared" si="4"/>
        <v>2025</v>
      </c>
      <c r="R61" t="str">
        <f t="shared" si="5"/>
        <v>Open</v>
      </c>
      <c r="S61" t="str">
        <f t="shared" si="6"/>
        <v>Open</v>
      </c>
    </row>
    <row r="62" spans="1:19" x14ac:dyDescent="0.25">
      <c r="A62" t="s">
        <v>127</v>
      </c>
      <c r="B62" s="1">
        <v>45817</v>
      </c>
      <c r="C62" s="1">
        <v>45818</v>
      </c>
      <c r="D62" t="s">
        <v>13</v>
      </c>
      <c r="E62" t="s">
        <v>14</v>
      </c>
      <c r="F62" t="s">
        <v>15</v>
      </c>
      <c r="G62" t="s">
        <v>23</v>
      </c>
      <c r="H62" t="s">
        <v>128</v>
      </c>
      <c r="I62" t="s">
        <v>25</v>
      </c>
      <c r="J62" t="s">
        <v>26</v>
      </c>
      <c r="K62" t="s">
        <v>19</v>
      </c>
      <c r="L62" t="s">
        <v>19</v>
      </c>
      <c r="M62">
        <f t="shared" si="0"/>
        <v>1</v>
      </c>
      <c r="N62">
        <f t="shared" si="1"/>
        <v>7</v>
      </c>
      <c r="O62" t="str">
        <f t="shared" si="2"/>
        <v>Met</v>
      </c>
      <c r="P62" t="str">
        <f t="shared" si="3"/>
        <v>Jun</v>
      </c>
      <c r="Q62">
        <f t="shared" si="4"/>
        <v>2025</v>
      </c>
      <c r="R62" t="str">
        <f t="shared" si="5"/>
        <v>Closed</v>
      </c>
      <c r="S62" t="str">
        <f t="shared" si="6"/>
        <v>Jun</v>
      </c>
    </row>
    <row r="63" spans="1:19" x14ac:dyDescent="0.25">
      <c r="A63" t="s">
        <v>129</v>
      </c>
      <c r="B63" s="1">
        <v>45927</v>
      </c>
      <c r="C63" s="1">
        <v>45930</v>
      </c>
      <c r="D63" t="s">
        <v>49</v>
      </c>
      <c r="E63" t="s">
        <v>14</v>
      </c>
      <c r="F63" t="s">
        <v>30</v>
      </c>
      <c r="G63" t="s">
        <v>42</v>
      </c>
      <c r="H63" t="s">
        <v>79</v>
      </c>
      <c r="I63" t="s">
        <v>33</v>
      </c>
      <c r="J63" t="s">
        <v>26</v>
      </c>
      <c r="K63" t="s">
        <v>39</v>
      </c>
      <c r="L63" t="s">
        <v>20</v>
      </c>
      <c r="M63">
        <f t="shared" si="0"/>
        <v>3</v>
      </c>
      <c r="N63">
        <f t="shared" si="1"/>
        <v>3</v>
      </c>
      <c r="O63" t="str">
        <f t="shared" si="2"/>
        <v>Met</v>
      </c>
      <c r="P63" t="str">
        <f t="shared" si="3"/>
        <v>Sep</v>
      </c>
      <c r="Q63">
        <f t="shared" si="4"/>
        <v>2025</v>
      </c>
      <c r="R63" t="str">
        <f t="shared" si="5"/>
        <v>Closed</v>
      </c>
      <c r="S63" t="str">
        <f t="shared" si="6"/>
        <v>Sep</v>
      </c>
    </row>
    <row r="64" spans="1:19" x14ac:dyDescent="0.25">
      <c r="A64" t="s">
        <v>130</v>
      </c>
      <c r="B64" s="1">
        <v>45679</v>
      </c>
      <c r="C64" s="1">
        <v>45680</v>
      </c>
      <c r="D64" t="s">
        <v>28</v>
      </c>
      <c r="E64" t="s">
        <v>29</v>
      </c>
      <c r="F64" t="s">
        <v>592</v>
      </c>
      <c r="G64" t="s">
        <v>16</v>
      </c>
      <c r="H64" t="s">
        <v>92</v>
      </c>
      <c r="I64" t="s">
        <v>17</v>
      </c>
      <c r="J64" t="s">
        <v>18</v>
      </c>
      <c r="K64" t="s">
        <v>19</v>
      </c>
      <c r="L64" t="s">
        <v>20</v>
      </c>
      <c r="M64">
        <f t="shared" si="0"/>
        <v>1</v>
      </c>
      <c r="N64">
        <f t="shared" si="1"/>
        <v>1</v>
      </c>
      <c r="O64" t="str">
        <f t="shared" si="2"/>
        <v>Met</v>
      </c>
      <c r="P64" t="str">
        <f t="shared" si="3"/>
        <v>Jan</v>
      </c>
      <c r="Q64">
        <f t="shared" si="4"/>
        <v>2025</v>
      </c>
      <c r="R64" t="str">
        <f t="shared" si="5"/>
        <v>Closed</v>
      </c>
      <c r="S64" t="str">
        <f t="shared" si="6"/>
        <v>Jan</v>
      </c>
    </row>
    <row r="65" spans="1:19" x14ac:dyDescent="0.25">
      <c r="A65" t="s">
        <v>131</v>
      </c>
      <c r="B65" s="1">
        <v>45860</v>
      </c>
      <c r="C65" s="1">
        <v>45862</v>
      </c>
      <c r="D65" t="s">
        <v>49</v>
      </c>
      <c r="E65" t="s">
        <v>14</v>
      </c>
      <c r="F65" t="s">
        <v>30</v>
      </c>
      <c r="G65" t="s">
        <v>31</v>
      </c>
      <c r="H65" t="s">
        <v>110</v>
      </c>
      <c r="I65" t="s">
        <v>33</v>
      </c>
      <c r="J65" t="s">
        <v>34</v>
      </c>
      <c r="K65" t="s">
        <v>19</v>
      </c>
      <c r="L65" t="s">
        <v>39</v>
      </c>
      <c r="M65">
        <f t="shared" si="0"/>
        <v>2</v>
      </c>
      <c r="N65">
        <f t="shared" si="1"/>
        <v>3</v>
      </c>
      <c r="O65" t="str">
        <f t="shared" si="2"/>
        <v>Met</v>
      </c>
      <c r="P65" t="str">
        <f t="shared" si="3"/>
        <v>Jul</v>
      </c>
      <c r="Q65">
        <f t="shared" si="4"/>
        <v>2025</v>
      </c>
      <c r="R65" t="str">
        <f t="shared" si="5"/>
        <v>Closed</v>
      </c>
      <c r="S65" t="str">
        <f t="shared" si="6"/>
        <v>Jul</v>
      </c>
    </row>
    <row r="66" spans="1:19" x14ac:dyDescent="0.25">
      <c r="A66" t="s">
        <v>132</v>
      </c>
      <c r="B66" s="1">
        <v>45979</v>
      </c>
      <c r="C66" s="1">
        <v>45979</v>
      </c>
      <c r="D66" t="s">
        <v>45</v>
      </c>
      <c r="E66" t="s">
        <v>29</v>
      </c>
      <c r="F66" t="s">
        <v>22</v>
      </c>
      <c r="G66" t="s">
        <v>42</v>
      </c>
      <c r="H66" t="s">
        <v>62</v>
      </c>
      <c r="I66" t="s">
        <v>33</v>
      </c>
      <c r="J66" t="s">
        <v>60</v>
      </c>
      <c r="K66" t="s">
        <v>20</v>
      </c>
      <c r="L66" t="s">
        <v>20</v>
      </c>
      <c r="M66">
        <f t="shared" ref="M66:M129" si="7">IF(C66="","",C66-B66)</f>
        <v>0</v>
      </c>
      <c r="N66">
        <f t="shared" ref="N66:N129" si="8">IF(D66="P1",1,
IF(D66="P2",3,
IF(D66="P3",5,7)))</f>
        <v>5</v>
      </c>
      <c r="O66" t="str">
        <f t="shared" ref="O66:O129" si="9">IF(C66="","Open",
IF(M66&lt;=N66, "Met", "Breached"))</f>
        <v>Met</v>
      </c>
      <c r="P66" t="str">
        <f t="shared" ref="P66:P129" si="10">TEXT(B66,"mmm")</f>
        <v>Nov</v>
      </c>
      <c r="Q66">
        <f t="shared" ref="Q66:Q129" si="11">YEAR(B66)</f>
        <v>2025</v>
      </c>
      <c r="R66" t="str">
        <f t="shared" ref="R66:R129" si="12">IF(C66="","Open","Closed")</f>
        <v>Closed</v>
      </c>
      <c r="S66" t="str">
        <f t="shared" ref="S66:S129" si="13">IF(C66="","Open",TEXT(C66,"mmm"))</f>
        <v>Nov</v>
      </c>
    </row>
    <row r="67" spans="1:19" x14ac:dyDescent="0.25">
      <c r="A67" t="s">
        <v>133</v>
      </c>
      <c r="B67" s="1">
        <v>45687</v>
      </c>
      <c r="C67" s="1">
        <v>45687</v>
      </c>
      <c r="D67" t="s">
        <v>45</v>
      </c>
      <c r="E67" t="s">
        <v>29</v>
      </c>
      <c r="F67" t="s">
        <v>592</v>
      </c>
      <c r="G67" t="s">
        <v>42</v>
      </c>
      <c r="H67" t="s">
        <v>134</v>
      </c>
      <c r="I67" t="s">
        <v>33</v>
      </c>
      <c r="J67" t="s">
        <v>18</v>
      </c>
      <c r="K67" t="s">
        <v>19</v>
      </c>
      <c r="L67" t="s">
        <v>39</v>
      </c>
      <c r="M67">
        <f t="shared" si="7"/>
        <v>0</v>
      </c>
      <c r="N67">
        <f t="shared" si="8"/>
        <v>5</v>
      </c>
      <c r="O67" t="str">
        <f t="shared" si="9"/>
        <v>Met</v>
      </c>
      <c r="P67" t="str">
        <f t="shared" si="10"/>
        <v>Jan</v>
      </c>
      <c r="Q67">
        <f t="shared" si="11"/>
        <v>2025</v>
      </c>
      <c r="R67" t="str">
        <f t="shared" si="12"/>
        <v>Closed</v>
      </c>
      <c r="S67" t="str">
        <f t="shared" si="13"/>
        <v>Jan</v>
      </c>
    </row>
    <row r="68" spans="1:19" x14ac:dyDescent="0.25">
      <c r="A68" t="s">
        <v>135</v>
      </c>
      <c r="B68" s="1">
        <v>45888</v>
      </c>
      <c r="D68" t="s">
        <v>45</v>
      </c>
      <c r="E68" t="s">
        <v>76</v>
      </c>
      <c r="F68" t="s">
        <v>15</v>
      </c>
      <c r="G68" t="s">
        <v>42</v>
      </c>
      <c r="H68" t="s">
        <v>136</v>
      </c>
      <c r="I68" t="s">
        <v>69</v>
      </c>
      <c r="J68" t="s">
        <v>18</v>
      </c>
      <c r="K68" t="s">
        <v>20</v>
      </c>
      <c r="L68" t="s">
        <v>20</v>
      </c>
      <c r="M68" t="str">
        <f t="shared" si="7"/>
        <v/>
      </c>
      <c r="N68">
        <f t="shared" si="8"/>
        <v>5</v>
      </c>
      <c r="O68" t="str">
        <f t="shared" si="9"/>
        <v>Open</v>
      </c>
      <c r="P68" t="str">
        <f t="shared" si="10"/>
        <v>Aug</v>
      </c>
      <c r="Q68">
        <f t="shared" si="11"/>
        <v>2025</v>
      </c>
      <c r="R68" t="str">
        <f t="shared" si="12"/>
        <v>Open</v>
      </c>
      <c r="S68" t="str">
        <f t="shared" si="13"/>
        <v>Open</v>
      </c>
    </row>
    <row r="69" spans="1:19" x14ac:dyDescent="0.25">
      <c r="A69" t="s">
        <v>137</v>
      </c>
      <c r="B69" s="1">
        <v>45684</v>
      </c>
      <c r="C69" s="1">
        <v>45685</v>
      </c>
      <c r="D69" t="s">
        <v>13</v>
      </c>
      <c r="E69" t="s">
        <v>14</v>
      </c>
      <c r="F69" t="s">
        <v>66</v>
      </c>
      <c r="G69" t="s">
        <v>42</v>
      </c>
      <c r="H69" t="s">
        <v>56</v>
      </c>
      <c r="I69" t="s">
        <v>52</v>
      </c>
      <c r="J69" t="s">
        <v>26</v>
      </c>
      <c r="K69" t="s">
        <v>39</v>
      </c>
      <c r="L69" t="s">
        <v>19</v>
      </c>
      <c r="M69">
        <f t="shared" si="7"/>
        <v>1</v>
      </c>
      <c r="N69">
        <f t="shared" si="8"/>
        <v>7</v>
      </c>
      <c r="O69" t="str">
        <f t="shared" si="9"/>
        <v>Met</v>
      </c>
      <c r="P69" t="str">
        <f t="shared" si="10"/>
        <v>Jan</v>
      </c>
      <c r="Q69">
        <f t="shared" si="11"/>
        <v>2025</v>
      </c>
      <c r="R69" t="str">
        <f t="shared" si="12"/>
        <v>Closed</v>
      </c>
      <c r="S69" t="str">
        <f t="shared" si="13"/>
        <v>Jan</v>
      </c>
    </row>
    <row r="70" spans="1:19" x14ac:dyDescent="0.25">
      <c r="A70" t="s">
        <v>138</v>
      </c>
      <c r="B70" s="1">
        <v>46008</v>
      </c>
      <c r="C70" s="1">
        <v>46008</v>
      </c>
      <c r="D70" t="s">
        <v>28</v>
      </c>
      <c r="E70" t="s">
        <v>14</v>
      </c>
      <c r="F70" t="s">
        <v>66</v>
      </c>
      <c r="G70" t="s">
        <v>31</v>
      </c>
      <c r="H70" t="s">
        <v>106</v>
      </c>
      <c r="I70" t="s">
        <v>33</v>
      </c>
      <c r="J70" t="s">
        <v>60</v>
      </c>
      <c r="K70" t="s">
        <v>19</v>
      </c>
      <c r="L70" t="s">
        <v>20</v>
      </c>
      <c r="M70">
        <f t="shared" si="7"/>
        <v>0</v>
      </c>
      <c r="N70">
        <f t="shared" si="8"/>
        <v>1</v>
      </c>
      <c r="O70" t="str">
        <f t="shared" si="9"/>
        <v>Met</v>
      </c>
      <c r="P70" t="str">
        <f t="shared" si="10"/>
        <v>Dec</v>
      </c>
      <c r="Q70">
        <f t="shared" si="11"/>
        <v>2025</v>
      </c>
      <c r="R70" t="str">
        <f t="shared" si="12"/>
        <v>Closed</v>
      </c>
      <c r="S70" t="str">
        <f t="shared" si="13"/>
        <v>Dec</v>
      </c>
    </row>
    <row r="71" spans="1:19" x14ac:dyDescent="0.25">
      <c r="A71" t="s">
        <v>139</v>
      </c>
      <c r="B71" s="1">
        <v>45974</v>
      </c>
      <c r="D71" t="s">
        <v>49</v>
      </c>
      <c r="E71" t="s">
        <v>58</v>
      </c>
      <c r="F71" t="s">
        <v>66</v>
      </c>
      <c r="G71" t="s">
        <v>42</v>
      </c>
      <c r="H71" t="s">
        <v>24</v>
      </c>
      <c r="I71" t="s">
        <v>69</v>
      </c>
      <c r="J71" t="s">
        <v>18</v>
      </c>
      <c r="K71" t="s">
        <v>39</v>
      </c>
      <c r="L71" t="s">
        <v>20</v>
      </c>
      <c r="M71" t="str">
        <f t="shared" si="7"/>
        <v/>
      </c>
      <c r="N71">
        <f t="shared" si="8"/>
        <v>3</v>
      </c>
      <c r="O71" t="str">
        <f t="shared" si="9"/>
        <v>Open</v>
      </c>
      <c r="P71" t="str">
        <f t="shared" si="10"/>
        <v>Nov</v>
      </c>
      <c r="Q71">
        <f t="shared" si="11"/>
        <v>2025</v>
      </c>
      <c r="R71" t="str">
        <f t="shared" si="12"/>
        <v>Open</v>
      </c>
      <c r="S71" t="str">
        <f t="shared" si="13"/>
        <v>Open</v>
      </c>
    </row>
    <row r="72" spans="1:19" x14ac:dyDescent="0.25">
      <c r="A72" t="s">
        <v>140</v>
      </c>
      <c r="B72" s="1">
        <v>45950</v>
      </c>
      <c r="C72" s="1">
        <v>45950</v>
      </c>
      <c r="D72" t="s">
        <v>28</v>
      </c>
      <c r="E72" t="s">
        <v>14</v>
      </c>
      <c r="F72" t="s">
        <v>66</v>
      </c>
      <c r="G72" t="s">
        <v>42</v>
      </c>
      <c r="H72" t="s">
        <v>51</v>
      </c>
      <c r="I72" t="s">
        <v>69</v>
      </c>
      <c r="J72" t="s">
        <v>60</v>
      </c>
      <c r="K72" t="s">
        <v>39</v>
      </c>
      <c r="L72" t="s">
        <v>20</v>
      </c>
      <c r="M72">
        <f t="shared" si="7"/>
        <v>0</v>
      </c>
      <c r="N72">
        <f t="shared" si="8"/>
        <v>1</v>
      </c>
      <c r="O72" t="str">
        <f t="shared" si="9"/>
        <v>Met</v>
      </c>
      <c r="P72" t="str">
        <f t="shared" si="10"/>
        <v>Oct</v>
      </c>
      <c r="Q72">
        <f t="shared" si="11"/>
        <v>2025</v>
      </c>
      <c r="R72" t="str">
        <f t="shared" si="12"/>
        <v>Closed</v>
      </c>
      <c r="S72" t="str">
        <f t="shared" si="13"/>
        <v>Oct</v>
      </c>
    </row>
    <row r="73" spans="1:19" x14ac:dyDescent="0.25">
      <c r="A73" t="s">
        <v>141</v>
      </c>
      <c r="B73" s="1">
        <v>45920</v>
      </c>
      <c r="D73" t="s">
        <v>28</v>
      </c>
      <c r="E73" t="s">
        <v>58</v>
      </c>
      <c r="F73" t="s">
        <v>30</v>
      </c>
      <c r="G73" t="s">
        <v>42</v>
      </c>
      <c r="H73" t="s">
        <v>59</v>
      </c>
      <c r="I73" t="s">
        <v>69</v>
      </c>
      <c r="J73" t="s">
        <v>34</v>
      </c>
      <c r="K73" t="s">
        <v>39</v>
      </c>
      <c r="L73" t="s">
        <v>20</v>
      </c>
      <c r="M73" t="str">
        <f t="shared" si="7"/>
        <v/>
      </c>
      <c r="N73">
        <f t="shared" si="8"/>
        <v>1</v>
      </c>
      <c r="O73" t="str">
        <f t="shared" si="9"/>
        <v>Open</v>
      </c>
      <c r="P73" t="str">
        <f t="shared" si="10"/>
        <v>Sep</v>
      </c>
      <c r="Q73">
        <f t="shared" si="11"/>
        <v>2025</v>
      </c>
      <c r="R73" t="str">
        <f t="shared" si="12"/>
        <v>Open</v>
      </c>
      <c r="S73" t="str">
        <f t="shared" si="13"/>
        <v>Open</v>
      </c>
    </row>
    <row r="74" spans="1:19" x14ac:dyDescent="0.25">
      <c r="A74" t="s">
        <v>142</v>
      </c>
      <c r="B74" s="1">
        <v>45990</v>
      </c>
      <c r="C74" s="1">
        <v>45999</v>
      </c>
      <c r="D74" t="s">
        <v>13</v>
      </c>
      <c r="E74" t="s">
        <v>29</v>
      </c>
      <c r="F74" t="s">
        <v>66</v>
      </c>
      <c r="G74" t="s">
        <v>55</v>
      </c>
      <c r="H74" t="s">
        <v>110</v>
      </c>
      <c r="I74" t="s">
        <v>25</v>
      </c>
      <c r="J74" t="s">
        <v>26</v>
      </c>
      <c r="K74" t="s">
        <v>39</v>
      </c>
      <c r="L74" t="s">
        <v>20</v>
      </c>
      <c r="M74">
        <f t="shared" si="7"/>
        <v>9</v>
      </c>
      <c r="N74">
        <f t="shared" si="8"/>
        <v>7</v>
      </c>
      <c r="O74" t="str">
        <f t="shared" si="9"/>
        <v>Breached</v>
      </c>
      <c r="P74" t="str">
        <f t="shared" si="10"/>
        <v>Nov</v>
      </c>
      <c r="Q74">
        <f t="shared" si="11"/>
        <v>2025</v>
      </c>
      <c r="R74" t="str">
        <f t="shared" si="12"/>
        <v>Closed</v>
      </c>
      <c r="S74" t="str">
        <f t="shared" si="13"/>
        <v>Dec</v>
      </c>
    </row>
    <row r="75" spans="1:19" x14ac:dyDescent="0.25">
      <c r="A75" t="s">
        <v>143</v>
      </c>
      <c r="B75" s="1">
        <v>45780</v>
      </c>
      <c r="C75" s="1">
        <v>45783</v>
      </c>
      <c r="D75" t="s">
        <v>45</v>
      </c>
      <c r="E75" t="s">
        <v>29</v>
      </c>
      <c r="F75" t="s">
        <v>30</v>
      </c>
      <c r="G75" t="s">
        <v>16</v>
      </c>
      <c r="H75" t="s">
        <v>56</v>
      </c>
      <c r="I75" t="s">
        <v>25</v>
      </c>
      <c r="J75" t="s">
        <v>60</v>
      </c>
      <c r="K75" t="s">
        <v>20</v>
      </c>
      <c r="L75" t="s">
        <v>20</v>
      </c>
      <c r="M75">
        <f t="shared" si="7"/>
        <v>3</v>
      </c>
      <c r="N75">
        <f t="shared" si="8"/>
        <v>5</v>
      </c>
      <c r="O75" t="str">
        <f t="shared" si="9"/>
        <v>Met</v>
      </c>
      <c r="P75" t="str">
        <f t="shared" si="10"/>
        <v>May</v>
      </c>
      <c r="Q75">
        <f t="shared" si="11"/>
        <v>2025</v>
      </c>
      <c r="R75" t="str">
        <f t="shared" si="12"/>
        <v>Closed</v>
      </c>
      <c r="S75" t="str">
        <f t="shared" si="13"/>
        <v>May</v>
      </c>
    </row>
    <row r="76" spans="1:19" x14ac:dyDescent="0.25">
      <c r="A76" t="s">
        <v>145</v>
      </c>
      <c r="B76" s="1">
        <v>45856</v>
      </c>
      <c r="C76" s="1">
        <v>45857</v>
      </c>
      <c r="D76" t="s">
        <v>13</v>
      </c>
      <c r="E76" t="s">
        <v>14</v>
      </c>
      <c r="F76" t="s">
        <v>15</v>
      </c>
      <c r="G76" t="s">
        <v>16</v>
      </c>
      <c r="H76" t="s">
        <v>79</v>
      </c>
      <c r="I76" t="s">
        <v>52</v>
      </c>
      <c r="J76" t="s">
        <v>18</v>
      </c>
      <c r="K76" t="s">
        <v>19</v>
      </c>
      <c r="L76" t="s">
        <v>39</v>
      </c>
      <c r="M76">
        <f t="shared" si="7"/>
        <v>1</v>
      </c>
      <c r="N76">
        <f t="shared" si="8"/>
        <v>7</v>
      </c>
      <c r="O76" t="str">
        <f t="shared" si="9"/>
        <v>Met</v>
      </c>
      <c r="P76" t="str">
        <f t="shared" si="10"/>
        <v>Jul</v>
      </c>
      <c r="Q76">
        <f t="shared" si="11"/>
        <v>2025</v>
      </c>
      <c r="R76" t="str">
        <f t="shared" si="12"/>
        <v>Closed</v>
      </c>
      <c r="S76" t="str">
        <f t="shared" si="13"/>
        <v>Jul</v>
      </c>
    </row>
    <row r="77" spans="1:19" x14ac:dyDescent="0.25">
      <c r="A77" t="s">
        <v>146</v>
      </c>
      <c r="B77" s="1">
        <v>45690</v>
      </c>
      <c r="C77" s="1">
        <v>45691</v>
      </c>
      <c r="D77" t="s">
        <v>45</v>
      </c>
      <c r="E77" t="s">
        <v>14</v>
      </c>
      <c r="F77" t="s">
        <v>22</v>
      </c>
      <c r="G77" t="s">
        <v>23</v>
      </c>
      <c r="H77" t="s">
        <v>591</v>
      </c>
      <c r="I77" t="s">
        <v>69</v>
      </c>
      <c r="J77" t="s">
        <v>60</v>
      </c>
      <c r="K77" t="s">
        <v>19</v>
      </c>
      <c r="L77" t="s">
        <v>20</v>
      </c>
      <c r="M77">
        <f t="shared" si="7"/>
        <v>1</v>
      </c>
      <c r="N77">
        <f t="shared" si="8"/>
        <v>5</v>
      </c>
      <c r="O77" t="str">
        <f t="shared" si="9"/>
        <v>Met</v>
      </c>
      <c r="P77" t="str">
        <f t="shared" si="10"/>
        <v>Feb</v>
      </c>
      <c r="Q77">
        <f t="shared" si="11"/>
        <v>2025</v>
      </c>
      <c r="R77" t="str">
        <f t="shared" si="12"/>
        <v>Closed</v>
      </c>
      <c r="S77" t="str">
        <f t="shared" si="13"/>
        <v>Feb</v>
      </c>
    </row>
    <row r="78" spans="1:19" x14ac:dyDescent="0.25">
      <c r="A78" t="s">
        <v>146</v>
      </c>
      <c r="B78" s="1">
        <v>45886</v>
      </c>
      <c r="D78" t="s">
        <v>45</v>
      </c>
      <c r="E78" t="s">
        <v>76</v>
      </c>
      <c r="F78" t="s">
        <v>22</v>
      </c>
      <c r="G78" t="s">
        <v>55</v>
      </c>
      <c r="H78" t="s">
        <v>24</v>
      </c>
      <c r="I78" t="s">
        <v>38</v>
      </c>
      <c r="J78" t="s">
        <v>34</v>
      </c>
      <c r="K78" t="s">
        <v>20</v>
      </c>
      <c r="L78" t="s">
        <v>39</v>
      </c>
      <c r="M78" t="str">
        <f t="shared" si="7"/>
        <v/>
      </c>
      <c r="N78">
        <f t="shared" si="8"/>
        <v>5</v>
      </c>
      <c r="O78" t="str">
        <f t="shared" si="9"/>
        <v>Open</v>
      </c>
      <c r="P78" t="str">
        <f t="shared" si="10"/>
        <v>Aug</v>
      </c>
      <c r="Q78">
        <f t="shared" si="11"/>
        <v>2025</v>
      </c>
      <c r="R78" t="str">
        <f t="shared" si="12"/>
        <v>Open</v>
      </c>
      <c r="S78" t="str">
        <f t="shared" si="13"/>
        <v>Open</v>
      </c>
    </row>
    <row r="79" spans="1:19" x14ac:dyDescent="0.25">
      <c r="A79" t="s">
        <v>147</v>
      </c>
      <c r="B79" s="1">
        <v>45846</v>
      </c>
      <c r="C79" s="1">
        <v>45846</v>
      </c>
      <c r="D79" t="s">
        <v>49</v>
      </c>
      <c r="E79" t="s">
        <v>29</v>
      </c>
      <c r="F79" t="s">
        <v>41</v>
      </c>
      <c r="G79" t="s">
        <v>55</v>
      </c>
      <c r="H79" t="s">
        <v>56</v>
      </c>
      <c r="I79" t="s">
        <v>33</v>
      </c>
      <c r="J79" t="s">
        <v>26</v>
      </c>
      <c r="K79" t="s">
        <v>20</v>
      </c>
      <c r="L79" t="s">
        <v>39</v>
      </c>
      <c r="M79">
        <f t="shared" si="7"/>
        <v>0</v>
      </c>
      <c r="N79">
        <f t="shared" si="8"/>
        <v>3</v>
      </c>
      <c r="O79" t="str">
        <f t="shared" si="9"/>
        <v>Met</v>
      </c>
      <c r="P79" t="str">
        <f t="shared" si="10"/>
        <v>Jul</v>
      </c>
      <c r="Q79">
        <f t="shared" si="11"/>
        <v>2025</v>
      </c>
      <c r="R79" t="str">
        <f t="shared" si="12"/>
        <v>Closed</v>
      </c>
      <c r="S79" t="str">
        <f t="shared" si="13"/>
        <v>Jul</v>
      </c>
    </row>
    <row r="80" spans="1:19" x14ac:dyDescent="0.25">
      <c r="A80" t="s">
        <v>148</v>
      </c>
      <c r="B80" s="1">
        <v>45996</v>
      </c>
      <c r="C80" s="1">
        <v>45996</v>
      </c>
      <c r="D80" t="s">
        <v>49</v>
      </c>
      <c r="E80" t="s">
        <v>29</v>
      </c>
      <c r="F80" t="s">
        <v>36</v>
      </c>
      <c r="G80" t="s">
        <v>55</v>
      </c>
      <c r="H80" t="s">
        <v>43</v>
      </c>
      <c r="I80" t="s">
        <v>25</v>
      </c>
      <c r="J80" t="s">
        <v>34</v>
      </c>
      <c r="K80" t="s">
        <v>19</v>
      </c>
      <c r="L80" t="s">
        <v>19</v>
      </c>
      <c r="M80">
        <f t="shared" si="7"/>
        <v>0</v>
      </c>
      <c r="N80">
        <f t="shared" si="8"/>
        <v>3</v>
      </c>
      <c r="O80" t="str">
        <f t="shared" si="9"/>
        <v>Met</v>
      </c>
      <c r="P80" t="str">
        <f t="shared" si="10"/>
        <v>Dec</v>
      </c>
      <c r="Q80">
        <f t="shared" si="11"/>
        <v>2025</v>
      </c>
      <c r="R80" t="str">
        <f t="shared" si="12"/>
        <v>Closed</v>
      </c>
      <c r="S80" t="str">
        <f t="shared" si="13"/>
        <v>Dec</v>
      </c>
    </row>
    <row r="81" spans="1:19" x14ac:dyDescent="0.25">
      <c r="A81" t="s">
        <v>149</v>
      </c>
      <c r="B81" s="1">
        <v>45675</v>
      </c>
      <c r="D81" t="s">
        <v>45</v>
      </c>
      <c r="E81" t="s">
        <v>58</v>
      </c>
      <c r="F81" t="s">
        <v>22</v>
      </c>
      <c r="G81" t="s">
        <v>23</v>
      </c>
      <c r="H81" t="s">
        <v>56</v>
      </c>
      <c r="I81" t="s">
        <v>38</v>
      </c>
      <c r="J81" t="s">
        <v>26</v>
      </c>
      <c r="K81" t="s">
        <v>19</v>
      </c>
      <c r="L81" t="s">
        <v>20</v>
      </c>
      <c r="M81" t="str">
        <f t="shared" si="7"/>
        <v/>
      </c>
      <c r="N81">
        <f t="shared" si="8"/>
        <v>5</v>
      </c>
      <c r="O81" t="str">
        <f t="shared" si="9"/>
        <v>Open</v>
      </c>
      <c r="P81" t="str">
        <f t="shared" si="10"/>
        <v>Jan</v>
      </c>
      <c r="Q81">
        <f t="shared" si="11"/>
        <v>2025</v>
      </c>
      <c r="R81" t="str">
        <f t="shared" si="12"/>
        <v>Open</v>
      </c>
      <c r="S81" t="str">
        <f t="shared" si="13"/>
        <v>Open</v>
      </c>
    </row>
    <row r="82" spans="1:19" x14ac:dyDescent="0.25">
      <c r="A82" t="s">
        <v>150</v>
      </c>
      <c r="B82" s="1">
        <v>45716</v>
      </c>
      <c r="D82" t="s">
        <v>49</v>
      </c>
      <c r="E82" t="s">
        <v>76</v>
      </c>
      <c r="F82" t="s">
        <v>15</v>
      </c>
      <c r="G82" t="s">
        <v>23</v>
      </c>
      <c r="H82" t="s">
        <v>151</v>
      </c>
      <c r="I82" t="s">
        <v>47</v>
      </c>
      <c r="J82" t="s">
        <v>60</v>
      </c>
      <c r="K82" t="s">
        <v>20</v>
      </c>
      <c r="L82" t="s">
        <v>39</v>
      </c>
      <c r="M82" t="str">
        <f t="shared" si="7"/>
        <v/>
      </c>
      <c r="N82">
        <f t="shared" si="8"/>
        <v>3</v>
      </c>
      <c r="O82" t="str">
        <f t="shared" si="9"/>
        <v>Open</v>
      </c>
      <c r="P82" t="str">
        <f t="shared" si="10"/>
        <v>Feb</v>
      </c>
      <c r="Q82">
        <f t="shared" si="11"/>
        <v>2025</v>
      </c>
      <c r="R82" t="str">
        <f t="shared" si="12"/>
        <v>Open</v>
      </c>
      <c r="S82" t="str">
        <f t="shared" si="13"/>
        <v>Open</v>
      </c>
    </row>
    <row r="83" spans="1:19" x14ac:dyDescent="0.25">
      <c r="A83" t="s">
        <v>152</v>
      </c>
      <c r="B83" s="1">
        <v>45885</v>
      </c>
      <c r="C83" s="1">
        <v>45885</v>
      </c>
      <c r="D83" t="s">
        <v>49</v>
      </c>
      <c r="E83" t="s">
        <v>14</v>
      </c>
      <c r="F83" t="s">
        <v>50</v>
      </c>
      <c r="G83" t="s">
        <v>23</v>
      </c>
      <c r="H83" t="s">
        <v>46</v>
      </c>
      <c r="I83" t="s">
        <v>17</v>
      </c>
      <c r="J83" t="s">
        <v>18</v>
      </c>
      <c r="K83" t="s">
        <v>39</v>
      </c>
      <c r="L83" t="s">
        <v>20</v>
      </c>
      <c r="M83">
        <f t="shared" si="7"/>
        <v>0</v>
      </c>
      <c r="N83">
        <f t="shared" si="8"/>
        <v>3</v>
      </c>
      <c r="O83" t="str">
        <f t="shared" si="9"/>
        <v>Met</v>
      </c>
      <c r="P83" t="str">
        <f t="shared" si="10"/>
        <v>Aug</v>
      </c>
      <c r="Q83">
        <f t="shared" si="11"/>
        <v>2025</v>
      </c>
      <c r="R83" t="str">
        <f t="shared" si="12"/>
        <v>Closed</v>
      </c>
      <c r="S83" t="str">
        <f t="shared" si="13"/>
        <v>Aug</v>
      </c>
    </row>
    <row r="84" spans="1:19" x14ac:dyDescent="0.25">
      <c r="A84" t="s">
        <v>153</v>
      </c>
      <c r="B84" s="1">
        <v>45846</v>
      </c>
      <c r="C84" s="1">
        <v>45851</v>
      </c>
      <c r="D84" t="s">
        <v>45</v>
      </c>
      <c r="E84" t="s">
        <v>29</v>
      </c>
      <c r="F84" t="s">
        <v>41</v>
      </c>
      <c r="G84" t="s">
        <v>23</v>
      </c>
      <c r="H84" t="s">
        <v>24</v>
      </c>
      <c r="I84" t="s">
        <v>17</v>
      </c>
      <c r="J84" t="s">
        <v>34</v>
      </c>
      <c r="K84" t="s">
        <v>39</v>
      </c>
      <c r="L84" t="s">
        <v>20</v>
      </c>
      <c r="M84">
        <f t="shared" si="7"/>
        <v>5</v>
      </c>
      <c r="N84">
        <f t="shared" si="8"/>
        <v>5</v>
      </c>
      <c r="O84" t="str">
        <f t="shared" si="9"/>
        <v>Met</v>
      </c>
      <c r="P84" t="str">
        <f t="shared" si="10"/>
        <v>Jul</v>
      </c>
      <c r="Q84">
        <f t="shared" si="11"/>
        <v>2025</v>
      </c>
      <c r="R84" t="str">
        <f t="shared" si="12"/>
        <v>Closed</v>
      </c>
      <c r="S84" t="str">
        <f t="shared" si="13"/>
        <v>Jul</v>
      </c>
    </row>
    <row r="85" spans="1:19" x14ac:dyDescent="0.25">
      <c r="A85" t="s">
        <v>154</v>
      </c>
      <c r="B85" s="1">
        <v>45686</v>
      </c>
      <c r="C85" s="1">
        <v>45689</v>
      </c>
      <c r="D85" t="s">
        <v>49</v>
      </c>
      <c r="E85" t="s">
        <v>14</v>
      </c>
      <c r="F85" t="s">
        <v>50</v>
      </c>
      <c r="G85" t="s">
        <v>31</v>
      </c>
      <c r="H85" t="s">
        <v>136</v>
      </c>
      <c r="I85" t="s">
        <v>33</v>
      </c>
      <c r="J85" t="s">
        <v>34</v>
      </c>
      <c r="K85" t="s">
        <v>39</v>
      </c>
      <c r="L85" t="s">
        <v>19</v>
      </c>
      <c r="M85">
        <f t="shared" si="7"/>
        <v>3</v>
      </c>
      <c r="N85">
        <f t="shared" si="8"/>
        <v>3</v>
      </c>
      <c r="O85" t="str">
        <f t="shared" si="9"/>
        <v>Met</v>
      </c>
      <c r="P85" t="str">
        <f t="shared" si="10"/>
        <v>Jan</v>
      </c>
      <c r="Q85">
        <f t="shared" si="11"/>
        <v>2025</v>
      </c>
      <c r="R85" t="str">
        <f t="shared" si="12"/>
        <v>Closed</v>
      </c>
      <c r="S85" t="str">
        <f t="shared" si="13"/>
        <v>Feb</v>
      </c>
    </row>
    <row r="86" spans="1:19" x14ac:dyDescent="0.25">
      <c r="A86" t="s">
        <v>155</v>
      </c>
      <c r="B86" s="1">
        <v>45967</v>
      </c>
      <c r="C86" s="1">
        <v>45969</v>
      </c>
      <c r="D86" t="s">
        <v>45</v>
      </c>
      <c r="E86" t="s">
        <v>29</v>
      </c>
      <c r="F86" t="s">
        <v>50</v>
      </c>
      <c r="G86" t="s">
        <v>42</v>
      </c>
      <c r="H86" t="s">
        <v>51</v>
      </c>
      <c r="I86" t="s">
        <v>38</v>
      </c>
      <c r="J86" t="s">
        <v>34</v>
      </c>
      <c r="K86" t="s">
        <v>19</v>
      </c>
      <c r="L86" t="s">
        <v>20</v>
      </c>
      <c r="M86">
        <f t="shared" si="7"/>
        <v>2</v>
      </c>
      <c r="N86">
        <f t="shared" si="8"/>
        <v>5</v>
      </c>
      <c r="O86" t="str">
        <f t="shared" si="9"/>
        <v>Met</v>
      </c>
      <c r="P86" t="str">
        <f t="shared" si="10"/>
        <v>Nov</v>
      </c>
      <c r="Q86">
        <f t="shared" si="11"/>
        <v>2025</v>
      </c>
      <c r="R86" t="str">
        <f t="shared" si="12"/>
        <v>Closed</v>
      </c>
      <c r="S86" t="str">
        <f t="shared" si="13"/>
        <v>Nov</v>
      </c>
    </row>
    <row r="87" spans="1:19" x14ac:dyDescent="0.25">
      <c r="A87" t="s">
        <v>156</v>
      </c>
      <c r="B87" s="1">
        <v>45695</v>
      </c>
      <c r="C87" s="1">
        <v>45696</v>
      </c>
      <c r="D87" t="s">
        <v>28</v>
      </c>
      <c r="E87" t="s">
        <v>14</v>
      </c>
      <c r="F87" t="s">
        <v>22</v>
      </c>
      <c r="G87" t="s">
        <v>42</v>
      </c>
      <c r="H87" t="s">
        <v>92</v>
      </c>
      <c r="I87" t="s">
        <v>69</v>
      </c>
      <c r="J87" t="s">
        <v>34</v>
      </c>
      <c r="K87" t="s">
        <v>20</v>
      </c>
      <c r="L87" t="s">
        <v>39</v>
      </c>
      <c r="M87">
        <f t="shared" si="7"/>
        <v>1</v>
      </c>
      <c r="N87">
        <f t="shared" si="8"/>
        <v>1</v>
      </c>
      <c r="O87" t="str">
        <f t="shared" si="9"/>
        <v>Met</v>
      </c>
      <c r="P87" t="str">
        <f t="shared" si="10"/>
        <v>Feb</v>
      </c>
      <c r="Q87">
        <f t="shared" si="11"/>
        <v>2025</v>
      </c>
      <c r="R87" t="str">
        <f t="shared" si="12"/>
        <v>Closed</v>
      </c>
      <c r="S87" t="str">
        <f t="shared" si="13"/>
        <v>Feb</v>
      </c>
    </row>
    <row r="88" spans="1:19" x14ac:dyDescent="0.25">
      <c r="A88" t="s">
        <v>157</v>
      </c>
      <c r="B88" s="1">
        <v>45784</v>
      </c>
      <c r="D88" t="s">
        <v>13</v>
      </c>
      <c r="E88" t="s">
        <v>58</v>
      </c>
      <c r="F88" t="s">
        <v>592</v>
      </c>
      <c r="G88" t="s">
        <v>16</v>
      </c>
      <c r="H88" t="s">
        <v>32</v>
      </c>
      <c r="I88" t="s">
        <v>33</v>
      </c>
      <c r="J88" t="s">
        <v>18</v>
      </c>
      <c r="K88" t="s">
        <v>20</v>
      </c>
      <c r="L88" t="s">
        <v>20</v>
      </c>
      <c r="M88" t="str">
        <f t="shared" si="7"/>
        <v/>
      </c>
      <c r="N88">
        <f t="shared" si="8"/>
        <v>7</v>
      </c>
      <c r="O88" t="str">
        <f t="shared" si="9"/>
        <v>Open</v>
      </c>
      <c r="P88" t="str">
        <f t="shared" si="10"/>
        <v>May</v>
      </c>
      <c r="Q88">
        <f t="shared" si="11"/>
        <v>2025</v>
      </c>
      <c r="R88" t="str">
        <f t="shared" si="12"/>
        <v>Open</v>
      </c>
      <c r="S88" t="str">
        <f t="shared" si="13"/>
        <v>Open</v>
      </c>
    </row>
    <row r="89" spans="1:19" x14ac:dyDescent="0.25">
      <c r="A89" t="s">
        <v>158</v>
      </c>
      <c r="B89" s="1">
        <v>45704</v>
      </c>
      <c r="C89" s="1">
        <v>45704</v>
      </c>
      <c r="D89" t="s">
        <v>45</v>
      </c>
      <c r="E89" t="s">
        <v>14</v>
      </c>
      <c r="F89" t="s">
        <v>41</v>
      </c>
      <c r="G89" t="s">
        <v>55</v>
      </c>
      <c r="H89" t="s">
        <v>77</v>
      </c>
      <c r="I89" t="s">
        <v>52</v>
      </c>
      <c r="J89" t="s">
        <v>26</v>
      </c>
      <c r="K89" t="s">
        <v>20</v>
      </c>
      <c r="L89" t="s">
        <v>20</v>
      </c>
      <c r="M89">
        <f t="shared" si="7"/>
        <v>0</v>
      </c>
      <c r="N89">
        <f t="shared" si="8"/>
        <v>5</v>
      </c>
      <c r="O89" t="str">
        <f t="shared" si="9"/>
        <v>Met</v>
      </c>
      <c r="P89" t="str">
        <f t="shared" si="10"/>
        <v>Feb</v>
      </c>
      <c r="Q89">
        <f t="shared" si="11"/>
        <v>2025</v>
      </c>
      <c r="R89" t="str">
        <f t="shared" si="12"/>
        <v>Closed</v>
      </c>
      <c r="S89" t="str">
        <f t="shared" si="13"/>
        <v>Feb</v>
      </c>
    </row>
    <row r="90" spans="1:19" x14ac:dyDescent="0.25">
      <c r="A90" t="s">
        <v>159</v>
      </c>
      <c r="B90" s="1">
        <v>45684</v>
      </c>
      <c r="C90" s="1">
        <v>45684</v>
      </c>
      <c r="D90" t="s">
        <v>45</v>
      </c>
      <c r="E90" t="s">
        <v>29</v>
      </c>
      <c r="F90" t="s">
        <v>50</v>
      </c>
      <c r="G90" t="s">
        <v>55</v>
      </c>
      <c r="H90" t="s">
        <v>37</v>
      </c>
      <c r="I90" t="s">
        <v>47</v>
      </c>
      <c r="J90" t="s">
        <v>34</v>
      </c>
      <c r="K90" t="s">
        <v>39</v>
      </c>
      <c r="L90" t="s">
        <v>19</v>
      </c>
      <c r="M90">
        <f t="shared" si="7"/>
        <v>0</v>
      </c>
      <c r="N90">
        <f t="shared" si="8"/>
        <v>5</v>
      </c>
      <c r="O90" t="str">
        <f t="shared" si="9"/>
        <v>Met</v>
      </c>
      <c r="P90" t="str">
        <f t="shared" si="10"/>
        <v>Jan</v>
      </c>
      <c r="Q90">
        <f t="shared" si="11"/>
        <v>2025</v>
      </c>
      <c r="R90" t="str">
        <f t="shared" si="12"/>
        <v>Closed</v>
      </c>
      <c r="S90" t="str">
        <f t="shared" si="13"/>
        <v>Jan</v>
      </c>
    </row>
    <row r="91" spans="1:19" x14ac:dyDescent="0.25">
      <c r="A91" t="s">
        <v>160</v>
      </c>
      <c r="B91" s="1">
        <v>45914</v>
      </c>
      <c r="D91" t="s">
        <v>45</v>
      </c>
      <c r="E91" t="s">
        <v>76</v>
      </c>
      <c r="F91" t="s">
        <v>41</v>
      </c>
      <c r="G91" t="s">
        <v>16</v>
      </c>
      <c r="H91" t="s">
        <v>43</v>
      </c>
      <c r="I91" t="s">
        <v>33</v>
      </c>
      <c r="J91" t="s">
        <v>26</v>
      </c>
      <c r="K91" t="s">
        <v>19</v>
      </c>
      <c r="L91" t="s">
        <v>19</v>
      </c>
      <c r="M91" t="str">
        <f t="shared" si="7"/>
        <v/>
      </c>
      <c r="N91">
        <f t="shared" si="8"/>
        <v>5</v>
      </c>
      <c r="O91" t="str">
        <f t="shared" si="9"/>
        <v>Open</v>
      </c>
      <c r="P91" t="str">
        <f t="shared" si="10"/>
        <v>Sep</v>
      </c>
      <c r="Q91">
        <f t="shared" si="11"/>
        <v>2025</v>
      </c>
      <c r="R91" t="str">
        <f t="shared" si="12"/>
        <v>Open</v>
      </c>
      <c r="S91" t="str">
        <f t="shared" si="13"/>
        <v>Open</v>
      </c>
    </row>
    <row r="92" spans="1:19" x14ac:dyDescent="0.25">
      <c r="A92" t="s">
        <v>161</v>
      </c>
      <c r="B92" s="1">
        <v>46020</v>
      </c>
      <c r="C92" s="1">
        <v>46020</v>
      </c>
      <c r="D92" t="s">
        <v>28</v>
      </c>
      <c r="E92" t="s">
        <v>29</v>
      </c>
      <c r="F92" t="s">
        <v>50</v>
      </c>
      <c r="G92" t="s">
        <v>591</v>
      </c>
      <c r="H92" t="s">
        <v>134</v>
      </c>
      <c r="I92" t="s">
        <v>33</v>
      </c>
      <c r="J92" t="s">
        <v>18</v>
      </c>
      <c r="K92" t="s">
        <v>39</v>
      </c>
      <c r="L92" t="s">
        <v>19</v>
      </c>
      <c r="M92">
        <f t="shared" si="7"/>
        <v>0</v>
      </c>
      <c r="N92">
        <f t="shared" si="8"/>
        <v>1</v>
      </c>
      <c r="O92" t="str">
        <f t="shared" si="9"/>
        <v>Met</v>
      </c>
      <c r="P92" t="str">
        <f t="shared" si="10"/>
        <v>Dec</v>
      </c>
      <c r="Q92">
        <f t="shared" si="11"/>
        <v>2025</v>
      </c>
      <c r="R92" t="str">
        <f t="shared" si="12"/>
        <v>Closed</v>
      </c>
      <c r="S92" t="str">
        <f t="shared" si="13"/>
        <v>Dec</v>
      </c>
    </row>
    <row r="93" spans="1:19" x14ac:dyDescent="0.25">
      <c r="A93" t="s">
        <v>162</v>
      </c>
      <c r="B93" s="1">
        <v>45975</v>
      </c>
      <c r="C93" s="1">
        <v>45975</v>
      </c>
      <c r="D93" t="s">
        <v>28</v>
      </c>
      <c r="E93" t="s">
        <v>14</v>
      </c>
      <c r="F93" t="s">
        <v>15</v>
      </c>
      <c r="G93" t="s">
        <v>31</v>
      </c>
      <c r="H93" t="s">
        <v>136</v>
      </c>
      <c r="I93" t="s">
        <v>52</v>
      </c>
      <c r="J93" t="s">
        <v>34</v>
      </c>
      <c r="K93" t="s">
        <v>19</v>
      </c>
      <c r="L93" t="s">
        <v>39</v>
      </c>
      <c r="M93">
        <f t="shared" si="7"/>
        <v>0</v>
      </c>
      <c r="N93">
        <f t="shared" si="8"/>
        <v>1</v>
      </c>
      <c r="O93" t="str">
        <f t="shared" si="9"/>
        <v>Met</v>
      </c>
      <c r="P93" t="str">
        <f t="shared" si="10"/>
        <v>Nov</v>
      </c>
      <c r="Q93">
        <f t="shared" si="11"/>
        <v>2025</v>
      </c>
      <c r="R93" t="str">
        <f t="shared" si="12"/>
        <v>Closed</v>
      </c>
      <c r="S93" t="str">
        <f t="shared" si="13"/>
        <v>Nov</v>
      </c>
    </row>
    <row r="94" spans="1:19" x14ac:dyDescent="0.25">
      <c r="A94" t="s">
        <v>163</v>
      </c>
      <c r="B94" s="1">
        <v>45997</v>
      </c>
      <c r="C94" s="1">
        <v>46000</v>
      </c>
      <c r="D94" t="s">
        <v>45</v>
      </c>
      <c r="E94" t="s">
        <v>29</v>
      </c>
      <c r="F94" t="s">
        <v>22</v>
      </c>
      <c r="G94" t="s">
        <v>23</v>
      </c>
      <c r="H94" t="s">
        <v>32</v>
      </c>
      <c r="I94" t="s">
        <v>33</v>
      </c>
      <c r="J94" t="s">
        <v>26</v>
      </c>
      <c r="K94" t="s">
        <v>39</v>
      </c>
      <c r="L94" t="s">
        <v>20</v>
      </c>
      <c r="M94">
        <f t="shared" si="7"/>
        <v>3</v>
      </c>
      <c r="N94">
        <f t="shared" si="8"/>
        <v>5</v>
      </c>
      <c r="O94" t="str">
        <f t="shared" si="9"/>
        <v>Met</v>
      </c>
      <c r="P94" t="str">
        <f t="shared" si="10"/>
        <v>Dec</v>
      </c>
      <c r="Q94">
        <f t="shared" si="11"/>
        <v>2025</v>
      </c>
      <c r="R94" t="str">
        <f t="shared" si="12"/>
        <v>Closed</v>
      </c>
      <c r="S94" t="str">
        <f t="shared" si="13"/>
        <v>Dec</v>
      </c>
    </row>
    <row r="95" spans="1:19" x14ac:dyDescent="0.25">
      <c r="A95" t="s">
        <v>164</v>
      </c>
      <c r="B95" s="1">
        <v>46018</v>
      </c>
      <c r="D95" t="s">
        <v>13</v>
      </c>
      <c r="E95" t="s">
        <v>58</v>
      </c>
      <c r="F95" t="s">
        <v>22</v>
      </c>
      <c r="G95" t="s">
        <v>16</v>
      </c>
      <c r="H95" t="s">
        <v>43</v>
      </c>
      <c r="I95" t="s">
        <v>47</v>
      </c>
      <c r="J95" t="s">
        <v>26</v>
      </c>
      <c r="K95" t="s">
        <v>39</v>
      </c>
      <c r="L95" t="s">
        <v>20</v>
      </c>
      <c r="M95" t="str">
        <f t="shared" si="7"/>
        <v/>
      </c>
      <c r="N95">
        <f t="shared" si="8"/>
        <v>7</v>
      </c>
      <c r="O95" t="str">
        <f t="shared" si="9"/>
        <v>Open</v>
      </c>
      <c r="P95" t="str">
        <f t="shared" si="10"/>
        <v>Dec</v>
      </c>
      <c r="Q95">
        <f t="shared" si="11"/>
        <v>2025</v>
      </c>
      <c r="R95" t="str">
        <f t="shared" si="12"/>
        <v>Open</v>
      </c>
      <c r="S95" t="str">
        <f t="shared" si="13"/>
        <v>Open</v>
      </c>
    </row>
    <row r="96" spans="1:19" x14ac:dyDescent="0.25">
      <c r="A96" t="s">
        <v>165</v>
      </c>
      <c r="B96" s="1">
        <v>45698</v>
      </c>
      <c r="C96" s="1">
        <v>45706</v>
      </c>
      <c r="D96" t="s">
        <v>49</v>
      </c>
      <c r="E96" t="s">
        <v>29</v>
      </c>
      <c r="F96" t="s">
        <v>50</v>
      </c>
      <c r="G96" t="s">
        <v>16</v>
      </c>
      <c r="H96" t="s">
        <v>73</v>
      </c>
      <c r="I96" t="s">
        <v>52</v>
      </c>
      <c r="J96" t="s">
        <v>34</v>
      </c>
      <c r="K96" t="s">
        <v>39</v>
      </c>
      <c r="L96" t="s">
        <v>39</v>
      </c>
      <c r="M96">
        <f t="shared" si="7"/>
        <v>8</v>
      </c>
      <c r="N96">
        <f t="shared" si="8"/>
        <v>3</v>
      </c>
      <c r="O96" t="str">
        <f t="shared" si="9"/>
        <v>Breached</v>
      </c>
      <c r="P96" t="str">
        <f t="shared" si="10"/>
        <v>Feb</v>
      </c>
      <c r="Q96">
        <f t="shared" si="11"/>
        <v>2025</v>
      </c>
      <c r="R96" t="str">
        <f t="shared" si="12"/>
        <v>Closed</v>
      </c>
      <c r="S96" t="str">
        <f t="shared" si="13"/>
        <v>Feb</v>
      </c>
    </row>
    <row r="97" spans="1:19" x14ac:dyDescent="0.25">
      <c r="A97" t="s">
        <v>166</v>
      </c>
      <c r="B97" s="1">
        <v>45899</v>
      </c>
      <c r="D97" t="s">
        <v>28</v>
      </c>
      <c r="E97" t="s">
        <v>76</v>
      </c>
      <c r="F97" t="s">
        <v>66</v>
      </c>
      <c r="G97" t="s">
        <v>31</v>
      </c>
      <c r="H97" t="s">
        <v>106</v>
      </c>
      <c r="I97" t="s">
        <v>47</v>
      </c>
      <c r="J97" t="s">
        <v>60</v>
      </c>
      <c r="K97" t="s">
        <v>19</v>
      </c>
      <c r="L97" t="s">
        <v>19</v>
      </c>
      <c r="M97" t="str">
        <f t="shared" si="7"/>
        <v/>
      </c>
      <c r="N97">
        <f t="shared" si="8"/>
        <v>1</v>
      </c>
      <c r="O97" t="str">
        <f t="shared" si="9"/>
        <v>Open</v>
      </c>
      <c r="P97" t="str">
        <f t="shared" si="10"/>
        <v>Aug</v>
      </c>
      <c r="Q97">
        <f t="shared" si="11"/>
        <v>2025</v>
      </c>
      <c r="R97" t="str">
        <f t="shared" si="12"/>
        <v>Open</v>
      </c>
      <c r="S97" t="str">
        <f t="shared" si="13"/>
        <v>Open</v>
      </c>
    </row>
    <row r="98" spans="1:19" x14ac:dyDescent="0.25">
      <c r="A98" t="s">
        <v>168</v>
      </c>
      <c r="B98" s="1">
        <v>45677</v>
      </c>
      <c r="C98" s="1">
        <v>45677</v>
      </c>
      <c r="D98" t="s">
        <v>28</v>
      </c>
      <c r="E98" t="s">
        <v>14</v>
      </c>
      <c r="F98" t="s">
        <v>592</v>
      </c>
      <c r="G98" t="s">
        <v>23</v>
      </c>
      <c r="H98" t="s">
        <v>95</v>
      </c>
      <c r="I98" t="s">
        <v>69</v>
      </c>
      <c r="J98" t="s">
        <v>26</v>
      </c>
      <c r="K98" t="s">
        <v>20</v>
      </c>
      <c r="L98" t="s">
        <v>19</v>
      </c>
      <c r="M98">
        <f t="shared" si="7"/>
        <v>0</v>
      </c>
      <c r="N98">
        <f t="shared" si="8"/>
        <v>1</v>
      </c>
      <c r="O98" t="str">
        <f t="shared" si="9"/>
        <v>Met</v>
      </c>
      <c r="P98" t="str">
        <f t="shared" si="10"/>
        <v>Jan</v>
      </c>
      <c r="Q98">
        <f t="shared" si="11"/>
        <v>2025</v>
      </c>
      <c r="R98" t="str">
        <f t="shared" si="12"/>
        <v>Closed</v>
      </c>
      <c r="S98" t="str">
        <f t="shared" si="13"/>
        <v>Jan</v>
      </c>
    </row>
    <row r="99" spans="1:19" x14ac:dyDescent="0.25">
      <c r="A99" t="s">
        <v>169</v>
      </c>
      <c r="B99" s="1">
        <v>45910</v>
      </c>
      <c r="C99" s="1">
        <v>45913</v>
      </c>
      <c r="D99" t="s">
        <v>49</v>
      </c>
      <c r="E99" t="s">
        <v>14</v>
      </c>
      <c r="F99" t="s">
        <v>66</v>
      </c>
      <c r="G99" t="s">
        <v>591</v>
      </c>
      <c r="H99" t="s">
        <v>106</v>
      </c>
      <c r="I99" t="s">
        <v>17</v>
      </c>
      <c r="J99" t="s">
        <v>18</v>
      </c>
      <c r="K99" t="s">
        <v>20</v>
      </c>
      <c r="L99" t="s">
        <v>19</v>
      </c>
      <c r="M99">
        <f t="shared" si="7"/>
        <v>3</v>
      </c>
      <c r="N99">
        <f t="shared" si="8"/>
        <v>3</v>
      </c>
      <c r="O99" t="str">
        <f t="shared" si="9"/>
        <v>Met</v>
      </c>
      <c r="P99" t="str">
        <f t="shared" si="10"/>
        <v>Sep</v>
      </c>
      <c r="Q99">
        <f t="shared" si="11"/>
        <v>2025</v>
      </c>
      <c r="R99" t="str">
        <f t="shared" si="12"/>
        <v>Closed</v>
      </c>
      <c r="S99" t="str">
        <f t="shared" si="13"/>
        <v>Sep</v>
      </c>
    </row>
    <row r="100" spans="1:19" x14ac:dyDescent="0.25">
      <c r="A100" t="s">
        <v>170</v>
      </c>
      <c r="B100" s="1">
        <v>45863</v>
      </c>
      <c r="C100" s="1">
        <v>45867</v>
      </c>
      <c r="D100" t="s">
        <v>49</v>
      </c>
      <c r="E100" t="s">
        <v>14</v>
      </c>
      <c r="F100" t="s">
        <v>592</v>
      </c>
      <c r="G100" t="s">
        <v>16</v>
      </c>
      <c r="H100" t="s">
        <v>591</v>
      </c>
      <c r="I100" t="s">
        <v>25</v>
      </c>
      <c r="J100" t="s">
        <v>60</v>
      </c>
      <c r="K100" t="s">
        <v>20</v>
      </c>
      <c r="L100" t="s">
        <v>20</v>
      </c>
      <c r="M100">
        <f t="shared" si="7"/>
        <v>4</v>
      </c>
      <c r="N100">
        <f t="shared" si="8"/>
        <v>3</v>
      </c>
      <c r="O100" t="str">
        <f t="shared" si="9"/>
        <v>Breached</v>
      </c>
      <c r="P100" t="str">
        <f t="shared" si="10"/>
        <v>Jul</v>
      </c>
      <c r="Q100">
        <f t="shared" si="11"/>
        <v>2025</v>
      </c>
      <c r="R100" t="str">
        <f t="shared" si="12"/>
        <v>Closed</v>
      </c>
      <c r="S100" t="str">
        <f t="shared" si="13"/>
        <v>Jul</v>
      </c>
    </row>
    <row r="101" spans="1:19" x14ac:dyDescent="0.25">
      <c r="A101" t="s">
        <v>172</v>
      </c>
      <c r="B101" s="1">
        <v>46009</v>
      </c>
      <c r="C101" s="1">
        <v>46012</v>
      </c>
      <c r="D101" t="s">
        <v>49</v>
      </c>
      <c r="E101" t="s">
        <v>29</v>
      </c>
      <c r="F101" t="s">
        <v>30</v>
      </c>
      <c r="G101" t="s">
        <v>16</v>
      </c>
      <c r="H101" t="s">
        <v>51</v>
      </c>
      <c r="I101" t="s">
        <v>47</v>
      </c>
      <c r="J101" t="s">
        <v>34</v>
      </c>
      <c r="K101" t="s">
        <v>19</v>
      </c>
      <c r="L101" t="s">
        <v>19</v>
      </c>
      <c r="M101">
        <f t="shared" si="7"/>
        <v>3</v>
      </c>
      <c r="N101">
        <f t="shared" si="8"/>
        <v>3</v>
      </c>
      <c r="O101" t="str">
        <f t="shared" si="9"/>
        <v>Met</v>
      </c>
      <c r="P101" t="str">
        <f t="shared" si="10"/>
        <v>Dec</v>
      </c>
      <c r="Q101">
        <f t="shared" si="11"/>
        <v>2025</v>
      </c>
      <c r="R101" t="str">
        <f t="shared" si="12"/>
        <v>Closed</v>
      </c>
      <c r="S101" t="str">
        <f t="shared" si="13"/>
        <v>Dec</v>
      </c>
    </row>
    <row r="102" spans="1:19" x14ac:dyDescent="0.25">
      <c r="A102" t="s">
        <v>173</v>
      </c>
      <c r="B102" s="1">
        <v>45699</v>
      </c>
      <c r="C102" s="1">
        <v>45705</v>
      </c>
      <c r="D102" t="s">
        <v>13</v>
      </c>
      <c r="E102" t="s">
        <v>29</v>
      </c>
      <c r="F102" t="s">
        <v>30</v>
      </c>
      <c r="G102" t="s">
        <v>55</v>
      </c>
      <c r="H102" t="s">
        <v>134</v>
      </c>
      <c r="I102" t="s">
        <v>47</v>
      </c>
      <c r="J102" t="s">
        <v>60</v>
      </c>
      <c r="K102" t="s">
        <v>20</v>
      </c>
      <c r="L102" t="s">
        <v>39</v>
      </c>
      <c r="M102">
        <f t="shared" si="7"/>
        <v>6</v>
      </c>
      <c r="N102">
        <f t="shared" si="8"/>
        <v>7</v>
      </c>
      <c r="O102" t="str">
        <f t="shared" si="9"/>
        <v>Met</v>
      </c>
      <c r="P102" t="str">
        <f t="shared" si="10"/>
        <v>Feb</v>
      </c>
      <c r="Q102">
        <f t="shared" si="11"/>
        <v>2025</v>
      </c>
      <c r="R102" t="str">
        <f t="shared" si="12"/>
        <v>Closed</v>
      </c>
      <c r="S102" t="str">
        <f t="shared" si="13"/>
        <v>Feb</v>
      </c>
    </row>
    <row r="103" spans="1:19" x14ac:dyDescent="0.25">
      <c r="A103" t="s">
        <v>174</v>
      </c>
      <c r="B103" s="1">
        <v>45891</v>
      </c>
      <c r="C103" s="1">
        <v>45892</v>
      </c>
      <c r="D103" t="s">
        <v>28</v>
      </c>
      <c r="E103" t="s">
        <v>29</v>
      </c>
      <c r="F103" t="s">
        <v>36</v>
      </c>
      <c r="G103" t="s">
        <v>55</v>
      </c>
      <c r="H103" t="s">
        <v>73</v>
      </c>
      <c r="I103" t="s">
        <v>38</v>
      </c>
      <c r="J103" t="s">
        <v>60</v>
      </c>
      <c r="K103" t="s">
        <v>20</v>
      </c>
      <c r="L103" t="s">
        <v>20</v>
      </c>
      <c r="M103">
        <f t="shared" si="7"/>
        <v>1</v>
      </c>
      <c r="N103">
        <f t="shared" si="8"/>
        <v>1</v>
      </c>
      <c r="O103" t="str">
        <f t="shared" si="9"/>
        <v>Met</v>
      </c>
      <c r="P103" t="str">
        <f t="shared" si="10"/>
        <v>Aug</v>
      </c>
      <c r="Q103">
        <f t="shared" si="11"/>
        <v>2025</v>
      </c>
      <c r="R103" t="str">
        <f t="shared" si="12"/>
        <v>Closed</v>
      </c>
      <c r="S103" t="str">
        <f t="shared" si="13"/>
        <v>Aug</v>
      </c>
    </row>
    <row r="104" spans="1:19" x14ac:dyDescent="0.25">
      <c r="A104" t="s">
        <v>175</v>
      </c>
      <c r="B104" s="1">
        <v>45727</v>
      </c>
      <c r="C104" s="1">
        <v>45728</v>
      </c>
      <c r="D104" t="s">
        <v>49</v>
      </c>
      <c r="E104" t="s">
        <v>14</v>
      </c>
      <c r="F104" t="s">
        <v>592</v>
      </c>
      <c r="G104" t="s">
        <v>23</v>
      </c>
      <c r="H104" t="s">
        <v>51</v>
      </c>
      <c r="I104" t="s">
        <v>52</v>
      </c>
      <c r="J104" t="s">
        <v>34</v>
      </c>
      <c r="K104" t="s">
        <v>39</v>
      </c>
      <c r="L104" t="s">
        <v>39</v>
      </c>
      <c r="M104">
        <f t="shared" si="7"/>
        <v>1</v>
      </c>
      <c r="N104">
        <f t="shared" si="8"/>
        <v>3</v>
      </c>
      <c r="O104" t="str">
        <f t="shared" si="9"/>
        <v>Met</v>
      </c>
      <c r="P104" t="str">
        <f t="shared" si="10"/>
        <v>Mar</v>
      </c>
      <c r="Q104">
        <f t="shared" si="11"/>
        <v>2025</v>
      </c>
      <c r="R104" t="str">
        <f t="shared" si="12"/>
        <v>Closed</v>
      </c>
      <c r="S104" t="str">
        <f t="shared" si="13"/>
        <v>Mar</v>
      </c>
    </row>
    <row r="105" spans="1:19" x14ac:dyDescent="0.25">
      <c r="A105" t="s">
        <v>176</v>
      </c>
      <c r="B105" s="1">
        <v>45895</v>
      </c>
      <c r="C105" s="1">
        <v>45896</v>
      </c>
      <c r="D105" t="s">
        <v>28</v>
      </c>
      <c r="E105" t="s">
        <v>14</v>
      </c>
      <c r="F105" t="s">
        <v>50</v>
      </c>
      <c r="G105" t="s">
        <v>42</v>
      </c>
      <c r="H105" t="s">
        <v>95</v>
      </c>
      <c r="I105" t="s">
        <v>25</v>
      </c>
      <c r="J105" t="s">
        <v>60</v>
      </c>
      <c r="K105" t="s">
        <v>20</v>
      </c>
      <c r="L105" t="s">
        <v>19</v>
      </c>
      <c r="M105">
        <f t="shared" si="7"/>
        <v>1</v>
      </c>
      <c r="N105">
        <f t="shared" si="8"/>
        <v>1</v>
      </c>
      <c r="O105" t="str">
        <f t="shared" si="9"/>
        <v>Met</v>
      </c>
      <c r="P105" t="str">
        <f t="shared" si="10"/>
        <v>Aug</v>
      </c>
      <c r="Q105">
        <f t="shared" si="11"/>
        <v>2025</v>
      </c>
      <c r="R105" t="str">
        <f t="shared" si="12"/>
        <v>Closed</v>
      </c>
      <c r="S105" t="str">
        <f t="shared" si="13"/>
        <v>Aug</v>
      </c>
    </row>
    <row r="106" spans="1:19" x14ac:dyDescent="0.25">
      <c r="A106" t="s">
        <v>177</v>
      </c>
      <c r="B106" s="1">
        <v>45682</v>
      </c>
      <c r="D106" t="s">
        <v>45</v>
      </c>
      <c r="E106" t="s">
        <v>58</v>
      </c>
      <c r="F106" t="s">
        <v>30</v>
      </c>
      <c r="G106" t="s">
        <v>31</v>
      </c>
      <c r="H106" t="s">
        <v>134</v>
      </c>
      <c r="I106" t="s">
        <v>17</v>
      </c>
      <c r="J106" t="s">
        <v>26</v>
      </c>
      <c r="K106" t="s">
        <v>39</v>
      </c>
      <c r="L106" t="s">
        <v>19</v>
      </c>
      <c r="M106" t="str">
        <f t="shared" si="7"/>
        <v/>
      </c>
      <c r="N106">
        <f t="shared" si="8"/>
        <v>5</v>
      </c>
      <c r="O106" t="str">
        <f t="shared" si="9"/>
        <v>Open</v>
      </c>
      <c r="P106" t="str">
        <f t="shared" si="10"/>
        <v>Jan</v>
      </c>
      <c r="Q106">
        <f t="shared" si="11"/>
        <v>2025</v>
      </c>
      <c r="R106" t="str">
        <f t="shared" si="12"/>
        <v>Open</v>
      </c>
      <c r="S106" t="str">
        <f t="shared" si="13"/>
        <v>Open</v>
      </c>
    </row>
    <row r="107" spans="1:19" x14ac:dyDescent="0.25">
      <c r="A107" t="s">
        <v>178</v>
      </c>
      <c r="B107" s="1">
        <v>45869</v>
      </c>
      <c r="C107" s="1">
        <v>45871</v>
      </c>
      <c r="D107" t="s">
        <v>13</v>
      </c>
      <c r="E107" t="s">
        <v>29</v>
      </c>
      <c r="F107" t="s">
        <v>592</v>
      </c>
      <c r="G107" t="s">
        <v>42</v>
      </c>
      <c r="H107" t="s">
        <v>37</v>
      </c>
      <c r="I107" t="s">
        <v>17</v>
      </c>
      <c r="J107" t="s">
        <v>26</v>
      </c>
      <c r="K107" t="s">
        <v>20</v>
      </c>
      <c r="L107" t="s">
        <v>39</v>
      </c>
      <c r="M107">
        <f t="shared" si="7"/>
        <v>2</v>
      </c>
      <c r="N107">
        <f t="shared" si="8"/>
        <v>7</v>
      </c>
      <c r="O107" t="str">
        <f t="shared" si="9"/>
        <v>Met</v>
      </c>
      <c r="P107" t="str">
        <f t="shared" si="10"/>
        <v>Jul</v>
      </c>
      <c r="Q107">
        <f t="shared" si="11"/>
        <v>2025</v>
      </c>
      <c r="R107" t="str">
        <f t="shared" si="12"/>
        <v>Closed</v>
      </c>
      <c r="S107" t="str">
        <f t="shared" si="13"/>
        <v>Aug</v>
      </c>
    </row>
    <row r="108" spans="1:19" x14ac:dyDescent="0.25">
      <c r="A108" t="s">
        <v>179</v>
      </c>
      <c r="B108" s="1">
        <v>45900</v>
      </c>
      <c r="D108" t="s">
        <v>49</v>
      </c>
      <c r="E108" t="s">
        <v>58</v>
      </c>
      <c r="F108" t="s">
        <v>66</v>
      </c>
      <c r="G108" t="s">
        <v>16</v>
      </c>
      <c r="H108" t="s">
        <v>43</v>
      </c>
      <c r="I108" t="s">
        <v>69</v>
      </c>
      <c r="J108" t="s">
        <v>60</v>
      </c>
      <c r="K108" t="s">
        <v>20</v>
      </c>
      <c r="L108" t="s">
        <v>20</v>
      </c>
      <c r="M108" t="str">
        <f t="shared" si="7"/>
        <v/>
      </c>
      <c r="N108">
        <f t="shared" si="8"/>
        <v>3</v>
      </c>
      <c r="O108" t="str">
        <f t="shared" si="9"/>
        <v>Open</v>
      </c>
      <c r="P108" t="str">
        <f t="shared" si="10"/>
        <v>Aug</v>
      </c>
      <c r="Q108">
        <f t="shared" si="11"/>
        <v>2025</v>
      </c>
      <c r="R108" t="str">
        <f t="shared" si="12"/>
        <v>Open</v>
      </c>
      <c r="S108" t="str">
        <f t="shared" si="13"/>
        <v>Open</v>
      </c>
    </row>
    <row r="109" spans="1:19" x14ac:dyDescent="0.25">
      <c r="A109" t="s">
        <v>180</v>
      </c>
      <c r="B109" s="1">
        <v>45755</v>
      </c>
      <c r="D109" t="s">
        <v>45</v>
      </c>
      <c r="E109" t="s">
        <v>76</v>
      </c>
      <c r="F109" t="s">
        <v>36</v>
      </c>
      <c r="G109" t="s">
        <v>16</v>
      </c>
      <c r="H109" t="s">
        <v>32</v>
      </c>
      <c r="I109" t="s">
        <v>69</v>
      </c>
      <c r="J109" t="s">
        <v>60</v>
      </c>
      <c r="K109" t="s">
        <v>39</v>
      </c>
      <c r="L109" t="s">
        <v>39</v>
      </c>
      <c r="M109" t="str">
        <f t="shared" si="7"/>
        <v/>
      </c>
      <c r="N109">
        <f t="shared" si="8"/>
        <v>5</v>
      </c>
      <c r="O109" t="str">
        <f t="shared" si="9"/>
        <v>Open</v>
      </c>
      <c r="P109" t="str">
        <f t="shared" si="10"/>
        <v>Apr</v>
      </c>
      <c r="Q109">
        <f t="shared" si="11"/>
        <v>2025</v>
      </c>
      <c r="R109" t="str">
        <f t="shared" si="12"/>
        <v>Open</v>
      </c>
      <c r="S109" t="str">
        <f t="shared" si="13"/>
        <v>Open</v>
      </c>
    </row>
    <row r="110" spans="1:19" x14ac:dyDescent="0.25">
      <c r="A110" t="s">
        <v>181</v>
      </c>
      <c r="B110" s="1">
        <v>45718</v>
      </c>
      <c r="C110" s="1">
        <v>45720</v>
      </c>
      <c r="D110" t="s">
        <v>13</v>
      </c>
      <c r="E110" t="s">
        <v>14</v>
      </c>
      <c r="F110" t="s">
        <v>30</v>
      </c>
      <c r="G110" t="s">
        <v>23</v>
      </c>
      <c r="H110" t="s">
        <v>92</v>
      </c>
      <c r="I110" t="s">
        <v>38</v>
      </c>
      <c r="J110" t="s">
        <v>60</v>
      </c>
      <c r="K110" t="s">
        <v>19</v>
      </c>
      <c r="L110" t="s">
        <v>20</v>
      </c>
      <c r="M110">
        <f t="shared" si="7"/>
        <v>2</v>
      </c>
      <c r="N110">
        <f t="shared" si="8"/>
        <v>7</v>
      </c>
      <c r="O110" t="str">
        <f t="shared" si="9"/>
        <v>Met</v>
      </c>
      <c r="P110" t="str">
        <f t="shared" si="10"/>
        <v>Mar</v>
      </c>
      <c r="Q110">
        <f t="shared" si="11"/>
        <v>2025</v>
      </c>
      <c r="R110" t="str">
        <f t="shared" si="12"/>
        <v>Closed</v>
      </c>
      <c r="S110" t="str">
        <f t="shared" si="13"/>
        <v>Mar</v>
      </c>
    </row>
    <row r="111" spans="1:19" x14ac:dyDescent="0.25">
      <c r="A111" t="s">
        <v>182</v>
      </c>
      <c r="B111" s="1">
        <v>45821</v>
      </c>
      <c r="C111" s="1">
        <v>45823</v>
      </c>
      <c r="D111" t="s">
        <v>49</v>
      </c>
      <c r="E111" t="s">
        <v>14</v>
      </c>
      <c r="F111" t="s">
        <v>36</v>
      </c>
      <c r="G111" t="s">
        <v>31</v>
      </c>
      <c r="H111" t="s">
        <v>59</v>
      </c>
      <c r="I111" t="s">
        <v>38</v>
      </c>
      <c r="J111" t="s">
        <v>26</v>
      </c>
      <c r="K111" t="s">
        <v>20</v>
      </c>
      <c r="L111" t="s">
        <v>20</v>
      </c>
      <c r="M111">
        <f t="shared" si="7"/>
        <v>2</v>
      </c>
      <c r="N111">
        <f t="shared" si="8"/>
        <v>3</v>
      </c>
      <c r="O111" t="str">
        <f t="shared" si="9"/>
        <v>Met</v>
      </c>
      <c r="P111" t="str">
        <f t="shared" si="10"/>
        <v>Jun</v>
      </c>
      <c r="Q111">
        <f t="shared" si="11"/>
        <v>2025</v>
      </c>
      <c r="R111" t="str">
        <f t="shared" si="12"/>
        <v>Closed</v>
      </c>
      <c r="S111" t="str">
        <f t="shared" si="13"/>
        <v>Jun</v>
      </c>
    </row>
    <row r="112" spans="1:19" x14ac:dyDescent="0.25">
      <c r="A112" t="s">
        <v>183</v>
      </c>
      <c r="B112" s="1">
        <v>45986</v>
      </c>
      <c r="C112" s="1">
        <v>45988</v>
      </c>
      <c r="D112" t="s">
        <v>28</v>
      </c>
      <c r="E112" t="s">
        <v>14</v>
      </c>
      <c r="F112" t="s">
        <v>41</v>
      </c>
      <c r="G112" t="s">
        <v>16</v>
      </c>
      <c r="H112" t="s">
        <v>591</v>
      </c>
      <c r="I112" t="s">
        <v>47</v>
      </c>
      <c r="J112" t="s">
        <v>60</v>
      </c>
      <c r="K112" t="s">
        <v>20</v>
      </c>
      <c r="L112" t="s">
        <v>39</v>
      </c>
      <c r="M112">
        <f t="shared" si="7"/>
        <v>2</v>
      </c>
      <c r="N112">
        <f t="shared" si="8"/>
        <v>1</v>
      </c>
      <c r="O112" t="str">
        <f t="shared" si="9"/>
        <v>Breached</v>
      </c>
      <c r="P112" t="str">
        <f t="shared" si="10"/>
        <v>Nov</v>
      </c>
      <c r="Q112">
        <f t="shared" si="11"/>
        <v>2025</v>
      </c>
      <c r="R112" t="str">
        <f t="shared" si="12"/>
        <v>Closed</v>
      </c>
      <c r="S112" t="str">
        <f t="shared" si="13"/>
        <v>Nov</v>
      </c>
    </row>
    <row r="113" spans="1:19" x14ac:dyDescent="0.25">
      <c r="A113" t="s">
        <v>184</v>
      </c>
      <c r="B113" s="1">
        <v>45776</v>
      </c>
      <c r="D113" t="s">
        <v>13</v>
      </c>
      <c r="E113" t="s">
        <v>76</v>
      </c>
      <c r="F113" t="s">
        <v>41</v>
      </c>
      <c r="G113" t="s">
        <v>42</v>
      </c>
      <c r="H113" t="s">
        <v>95</v>
      </c>
      <c r="I113" t="s">
        <v>25</v>
      </c>
      <c r="J113" t="s">
        <v>60</v>
      </c>
      <c r="K113" t="s">
        <v>19</v>
      </c>
      <c r="L113" t="s">
        <v>19</v>
      </c>
      <c r="M113" t="str">
        <f t="shared" si="7"/>
        <v/>
      </c>
      <c r="N113">
        <f t="shared" si="8"/>
        <v>7</v>
      </c>
      <c r="O113" t="str">
        <f t="shared" si="9"/>
        <v>Open</v>
      </c>
      <c r="P113" t="str">
        <f t="shared" si="10"/>
        <v>Apr</v>
      </c>
      <c r="Q113">
        <f t="shared" si="11"/>
        <v>2025</v>
      </c>
      <c r="R113" t="str">
        <f t="shared" si="12"/>
        <v>Open</v>
      </c>
      <c r="S113" t="str">
        <f t="shared" si="13"/>
        <v>Open</v>
      </c>
    </row>
    <row r="114" spans="1:19" x14ac:dyDescent="0.25">
      <c r="A114" t="s">
        <v>185</v>
      </c>
      <c r="B114" s="1">
        <v>45804</v>
      </c>
      <c r="D114" t="s">
        <v>13</v>
      </c>
      <c r="E114" t="s">
        <v>76</v>
      </c>
      <c r="F114" t="s">
        <v>66</v>
      </c>
      <c r="G114" t="s">
        <v>16</v>
      </c>
      <c r="H114" t="s">
        <v>92</v>
      </c>
      <c r="I114" t="s">
        <v>25</v>
      </c>
      <c r="J114" t="s">
        <v>26</v>
      </c>
      <c r="K114" t="s">
        <v>20</v>
      </c>
      <c r="L114" t="s">
        <v>20</v>
      </c>
      <c r="M114" t="str">
        <f t="shared" si="7"/>
        <v/>
      </c>
      <c r="N114">
        <f t="shared" si="8"/>
        <v>7</v>
      </c>
      <c r="O114" t="str">
        <f t="shared" si="9"/>
        <v>Open</v>
      </c>
      <c r="P114" t="str">
        <f t="shared" si="10"/>
        <v>May</v>
      </c>
      <c r="Q114">
        <f t="shared" si="11"/>
        <v>2025</v>
      </c>
      <c r="R114" t="str">
        <f t="shared" si="12"/>
        <v>Open</v>
      </c>
      <c r="S114" t="str">
        <f t="shared" si="13"/>
        <v>Open</v>
      </c>
    </row>
    <row r="115" spans="1:19" x14ac:dyDescent="0.25">
      <c r="A115" t="s">
        <v>186</v>
      </c>
      <c r="B115" s="1">
        <v>46014</v>
      </c>
      <c r="D115" t="s">
        <v>13</v>
      </c>
      <c r="E115" t="s">
        <v>58</v>
      </c>
      <c r="F115" t="s">
        <v>36</v>
      </c>
      <c r="G115" t="s">
        <v>55</v>
      </c>
      <c r="H115" t="s">
        <v>56</v>
      </c>
      <c r="I115" t="s">
        <v>52</v>
      </c>
      <c r="J115" t="s">
        <v>26</v>
      </c>
      <c r="K115" t="s">
        <v>19</v>
      </c>
      <c r="L115" t="s">
        <v>39</v>
      </c>
      <c r="M115" t="str">
        <f t="shared" si="7"/>
        <v/>
      </c>
      <c r="N115">
        <f t="shared" si="8"/>
        <v>7</v>
      </c>
      <c r="O115" t="str">
        <f t="shared" si="9"/>
        <v>Open</v>
      </c>
      <c r="P115" t="str">
        <f t="shared" si="10"/>
        <v>Dec</v>
      </c>
      <c r="Q115">
        <f t="shared" si="11"/>
        <v>2025</v>
      </c>
      <c r="R115" t="str">
        <f t="shared" si="12"/>
        <v>Open</v>
      </c>
      <c r="S115" t="str">
        <f t="shared" si="13"/>
        <v>Open</v>
      </c>
    </row>
    <row r="116" spans="1:19" x14ac:dyDescent="0.25">
      <c r="A116" t="s">
        <v>187</v>
      </c>
      <c r="B116" s="1">
        <v>45679</v>
      </c>
      <c r="D116" t="s">
        <v>45</v>
      </c>
      <c r="E116" t="s">
        <v>58</v>
      </c>
      <c r="F116" t="s">
        <v>41</v>
      </c>
      <c r="G116" t="s">
        <v>16</v>
      </c>
      <c r="H116" t="s">
        <v>73</v>
      </c>
      <c r="I116" t="s">
        <v>25</v>
      </c>
      <c r="J116" t="s">
        <v>34</v>
      </c>
      <c r="K116" t="s">
        <v>19</v>
      </c>
      <c r="L116" t="s">
        <v>39</v>
      </c>
      <c r="M116" t="str">
        <f t="shared" si="7"/>
        <v/>
      </c>
      <c r="N116">
        <f t="shared" si="8"/>
        <v>5</v>
      </c>
      <c r="O116" t="str">
        <f t="shared" si="9"/>
        <v>Open</v>
      </c>
      <c r="P116" t="str">
        <f t="shared" si="10"/>
        <v>Jan</v>
      </c>
      <c r="Q116">
        <f t="shared" si="11"/>
        <v>2025</v>
      </c>
      <c r="R116" t="str">
        <f t="shared" si="12"/>
        <v>Open</v>
      </c>
      <c r="S116" t="str">
        <f t="shared" si="13"/>
        <v>Open</v>
      </c>
    </row>
    <row r="117" spans="1:19" x14ac:dyDescent="0.25">
      <c r="A117" t="s">
        <v>188</v>
      </c>
      <c r="B117" s="1">
        <v>46022</v>
      </c>
      <c r="C117" s="1">
        <v>46029</v>
      </c>
      <c r="D117" t="s">
        <v>13</v>
      </c>
      <c r="E117" t="s">
        <v>14</v>
      </c>
      <c r="F117" t="s">
        <v>22</v>
      </c>
      <c r="G117" t="s">
        <v>55</v>
      </c>
      <c r="H117" t="s">
        <v>92</v>
      </c>
      <c r="I117" t="s">
        <v>17</v>
      </c>
      <c r="J117" t="s">
        <v>60</v>
      </c>
      <c r="K117" t="s">
        <v>20</v>
      </c>
      <c r="L117" t="s">
        <v>19</v>
      </c>
      <c r="M117">
        <f t="shared" si="7"/>
        <v>7</v>
      </c>
      <c r="N117">
        <f t="shared" si="8"/>
        <v>7</v>
      </c>
      <c r="O117" t="str">
        <f t="shared" si="9"/>
        <v>Met</v>
      </c>
      <c r="P117" t="str">
        <f t="shared" si="10"/>
        <v>Dec</v>
      </c>
      <c r="Q117">
        <f t="shared" si="11"/>
        <v>2025</v>
      </c>
      <c r="R117" t="str">
        <f t="shared" si="12"/>
        <v>Closed</v>
      </c>
      <c r="S117" t="str">
        <f t="shared" si="13"/>
        <v>Jan</v>
      </c>
    </row>
    <row r="118" spans="1:19" x14ac:dyDescent="0.25">
      <c r="A118" t="s">
        <v>189</v>
      </c>
      <c r="B118" s="1">
        <v>45962</v>
      </c>
      <c r="C118" s="1">
        <v>45964</v>
      </c>
      <c r="D118" t="s">
        <v>49</v>
      </c>
      <c r="E118" t="s">
        <v>29</v>
      </c>
      <c r="F118" t="s">
        <v>22</v>
      </c>
      <c r="G118" t="s">
        <v>42</v>
      </c>
      <c r="H118" t="s">
        <v>136</v>
      </c>
      <c r="I118" t="s">
        <v>52</v>
      </c>
      <c r="J118" t="s">
        <v>60</v>
      </c>
      <c r="K118" t="s">
        <v>39</v>
      </c>
      <c r="L118" t="s">
        <v>20</v>
      </c>
      <c r="M118">
        <f t="shared" si="7"/>
        <v>2</v>
      </c>
      <c r="N118">
        <f t="shared" si="8"/>
        <v>3</v>
      </c>
      <c r="O118" t="str">
        <f t="shared" si="9"/>
        <v>Met</v>
      </c>
      <c r="P118" t="str">
        <f t="shared" si="10"/>
        <v>Nov</v>
      </c>
      <c r="Q118">
        <f t="shared" si="11"/>
        <v>2025</v>
      </c>
      <c r="R118" t="str">
        <f t="shared" si="12"/>
        <v>Closed</v>
      </c>
      <c r="S118" t="str">
        <f t="shared" si="13"/>
        <v>Nov</v>
      </c>
    </row>
    <row r="119" spans="1:19" x14ac:dyDescent="0.25">
      <c r="A119" t="s">
        <v>190</v>
      </c>
      <c r="B119" s="1">
        <v>46022</v>
      </c>
      <c r="C119" s="1">
        <v>46026</v>
      </c>
      <c r="D119" t="s">
        <v>28</v>
      </c>
      <c r="E119" t="s">
        <v>14</v>
      </c>
      <c r="F119" t="s">
        <v>50</v>
      </c>
      <c r="G119" t="s">
        <v>42</v>
      </c>
      <c r="H119" t="s">
        <v>51</v>
      </c>
      <c r="I119" t="s">
        <v>25</v>
      </c>
      <c r="J119" t="s">
        <v>60</v>
      </c>
      <c r="K119" t="s">
        <v>20</v>
      </c>
      <c r="L119" t="s">
        <v>19</v>
      </c>
      <c r="M119">
        <f t="shared" si="7"/>
        <v>4</v>
      </c>
      <c r="N119">
        <f t="shared" si="8"/>
        <v>1</v>
      </c>
      <c r="O119" t="str">
        <f t="shared" si="9"/>
        <v>Breached</v>
      </c>
      <c r="P119" t="str">
        <f t="shared" si="10"/>
        <v>Dec</v>
      </c>
      <c r="Q119">
        <f t="shared" si="11"/>
        <v>2025</v>
      </c>
      <c r="R119" t="str">
        <f t="shared" si="12"/>
        <v>Closed</v>
      </c>
      <c r="S119" t="str">
        <f t="shared" si="13"/>
        <v>Jan</v>
      </c>
    </row>
    <row r="120" spans="1:19" x14ac:dyDescent="0.25">
      <c r="A120" t="s">
        <v>191</v>
      </c>
      <c r="B120" s="1">
        <v>45964</v>
      </c>
      <c r="C120" s="1">
        <v>45966</v>
      </c>
      <c r="D120" t="s">
        <v>13</v>
      </c>
      <c r="E120" t="s">
        <v>14</v>
      </c>
      <c r="F120" t="s">
        <v>30</v>
      </c>
      <c r="G120" t="s">
        <v>23</v>
      </c>
      <c r="H120" t="s">
        <v>110</v>
      </c>
      <c r="I120" t="s">
        <v>69</v>
      </c>
      <c r="J120" t="s">
        <v>18</v>
      </c>
      <c r="K120" t="s">
        <v>20</v>
      </c>
      <c r="L120" t="s">
        <v>20</v>
      </c>
      <c r="M120">
        <f t="shared" si="7"/>
        <v>2</v>
      </c>
      <c r="N120">
        <f t="shared" si="8"/>
        <v>7</v>
      </c>
      <c r="O120" t="str">
        <f t="shared" si="9"/>
        <v>Met</v>
      </c>
      <c r="P120" t="str">
        <f t="shared" si="10"/>
        <v>Nov</v>
      </c>
      <c r="Q120">
        <f t="shared" si="11"/>
        <v>2025</v>
      </c>
      <c r="R120" t="str">
        <f t="shared" si="12"/>
        <v>Closed</v>
      </c>
      <c r="S120" t="str">
        <f t="shared" si="13"/>
        <v>Nov</v>
      </c>
    </row>
    <row r="121" spans="1:19" x14ac:dyDescent="0.25">
      <c r="A121" t="s">
        <v>192</v>
      </c>
      <c r="B121" s="1">
        <v>45842</v>
      </c>
      <c r="D121" t="s">
        <v>13</v>
      </c>
      <c r="E121" t="s">
        <v>58</v>
      </c>
      <c r="F121" t="s">
        <v>30</v>
      </c>
      <c r="G121" t="s">
        <v>16</v>
      </c>
      <c r="H121" t="s">
        <v>37</v>
      </c>
      <c r="I121" t="s">
        <v>47</v>
      </c>
      <c r="J121" t="s">
        <v>34</v>
      </c>
      <c r="K121" t="s">
        <v>20</v>
      </c>
      <c r="L121" t="s">
        <v>20</v>
      </c>
      <c r="M121" t="str">
        <f t="shared" si="7"/>
        <v/>
      </c>
      <c r="N121">
        <f t="shared" si="8"/>
        <v>7</v>
      </c>
      <c r="O121" t="str">
        <f t="shared" si="9"/>
        <v>Open</v>
      </c>
      <c r="P121" t="str">
        <f t="shared" si="10"/>
        <v>Jul</v>
      </c>
      <c r="Q121">
        <f t="shared" si="11"/>
        <v>2025</v>
      </c>
      <c r="R121" t="str">
        <f t="shared" si="12"/>
        <v>Open</v>
      </c>
      <c r="S121" t="str">
        <f t="shared" si="13"/>
        <v>Open</v>
      </c>
    </row>
    <row r="122" spans="1:19" x14ac:dyDescent="0.25">
      <c r="A122" t="s">
        <v>193</v>
      </c>
      <c r="B122" s="1">
        <v>46013</v>
      </c>
      <c r="D122" t="s">
        <v>13</v>
      </c>
      <c r="E122" t="s">
        <v>58</v>
      </c>
      <c r="F122" t="s">
        <v>22</v>
      </c>
      <c r="G122" t="s">
        <v>31</v>
      </c>
      <c r="H122" t="s">
        <v>62</v>
      </c>
      <c r="I122" t="s">
        <v>69</v>
      </c>
      <c r="J122" t="s">
        <v>60</v>
      </c>
      <c r="K122" t="s">
        <v>19</v>
      </c>
      <c r="L122" t="s">
        <v>39</v>
      </c>
      <c r="M122" t="str">
        <f t="shared" si="7"/>
        <v/>
      </c>
      <c r="N122">
        <f t="shared" si="8"/>
        <v>7</v>
      </c>
      <c r="O122" t="str">
        <f t="shared" si="9"/>
        <v>Open</v>
      </c>
      <c r="P122" t="str">
        <f t="shared" si="10"/>
        <v>Dec</v>
      </c>
      <c r="Q122">
        <f t="shared" si="11"/>
        <v>2025</v>
      </c>
      <c r="R122" t="str">
        <f t="shared" si="12"/>
        <v>Open</v>
      </c>
      <c r="S122" t="str">
        <f t="shared" si="13"/>
        <v>Open</v>
      </c>
    </row>
    <row r="123" spans="1:19" x14ac:dyDescent="0.25">
      <c r="A123" t="s">
        <v>194</v>
      </c>
      <c r="B123" s="1">
        <v>45937</v>
      </c>
      <c r="D123" t="s">
        <v>49</v>
      </c>
      <c r="E123" t="s">
        <v>58</v>
      </c>
      <c r="F123" t="s">
        <v>41</v>
      </c>
      <c r="G123" t="s">
        <v>55</v>
      </c>
      <c r="H123" t="s">
        <v>77</v>
      </c>
      <c r="I123" t="s">
        <v>52</v>
      </c>
      <c r="J123" t="s">
        <v>26</v>
      </c>
      <c r="K123" t="s">
        <v>39</v>
      </c>
      <c r="L123" t="s">
        <v>20</v>
      </c>
      <c r="M123" t="str">
        <f t="shared" si="7"/>
        <v/>
      </c>
      <c r="N123">
        <f t="shared" si="8"/>
        <v>3</v>
      </c>
      <c r="O123" t="str">
        <f t="shared" si="9"/>
        <v>Open</v>
      </c>
      <c r="P123" t="str">
        <f t="shared" si="10"/>
        <v>Oct</v>
      </c>
      <c r="Q123">
        <f t="shared" si="11"/>
        <v>2025</v>
      </c>
      <c r="R123" t="str">
        <f t="shared" si="12"/>
        <v>Open</v>
      </c>
      <c r="S123" t="str">
        <f t="shared" si="13"/>
        <v>Open</v>
      </c>
    </row>
    <row r="124" spans="1:19" x14ac:dyDescent="0.25">
      <c r="A124" t="s">
        <v>196</v>
      </c>
      <c r="B124" s="1">
        <v>45874</v>
      </c>
      <c r="C124" s="1">
        <v>45876</v>
      </c>
      <c r="D124" t="s">
        <v>49</v>
      </c>
      <c r="E124" t="s">
        <v>14</v>
      </c>
      <c r="F124" t="s">
        <v>592</v>
      </c>
      <c r="G124" t="s">
        <v>16</v>
      </c>
      <c r="H124" t="s">
        <v>56</v>
      </c>
      <c r="I124" t="s">
        <v>52</v>
      </c>
      <c r="J124" t="s">
        <v>26</v>
      </c>
      <c r="K124" t="s">
        <v>39</v>
      </c>
      <c r="L124" t="s">
        <v>19</v>
      </c>
      <c r="M124">
        <f t="shared" si="7"/>
        <v>2</v>
      </c>
      <c r="N124">
        <f t="shared" si="8"/>
        <v>3</v>
      </c>
      <c r="O124" t="str">
        <f t="shared" si="9"/>
        <v>Met</v>
      </c>
      <c r="P124" t="str">
        <f t="shared" si="10"/>
        <v>Aug</v>
      </c>
      <c r="Q124">
        <f t="shared" si="11"/>
        <v>2025</v>
      </c>
      <c r="R124" t="str">
        <f t="shared" si="12"/>
        <v>Closed</v>
      </c>
      <c r="S124" t="str">
        <f t="shared" si="13"/>
        <v>Aug</v>
      </c>
    </row>
    <row r="125" spans="1:19" x14ac:dyDescent="0.25">
      <c r="A125" t="s">
        <v>197</v>
      </c>
      <c r="B125" s="1">
        <v>45946</v>
      </c>
      <c r="C125" s="1">
        <v>45950</v>
      </c>
      <c r="D125" t="s">
        <v>49</v>
      </c>
      <c r="E125" t="s">
        <v>14</v>
      </c>
      <c r="F125" t="s">
        <v>15</v>
      </c>
      <c r="G125" t="s">
        <v>16</v>
      </c>
      <c r="H125" t="s">
        <v>92</v>
      </c>
      <c r="I125" t="s">
        <v>69</v>
      </c>
      <c r="J125" t="s">
        <v>60</v>
      </c>
      <c r="K125" t="s">
        <v>20</v>
      </c>
      <c r="L125" t="s">
        <v>39</v>
      </c>
      <c r="M125">
        <f t="shared" si="7"/>
        <v>4</v>
      </c>
      <c r="N125">
        <f t="shared" si="8"/>
        <v>3</v>
      </c>
      <c r="O125" t="str">
        <f t="shared" si="9"/>
        <v>Breached</v>
      </c>
      <c r="P125" t="str">
        <f t="shared" si="10"/>
        <v>Oct</v>
      </c>
      <c r="Q125">
        <f t="shared" si="11"/>
        <v>2025</v>
      </c>
      <c r="R125" t="str">
        <f t="shared" si="12"/>
        <v>Closed</v>
      </c>
      <c r="S125" t="str">
        <f t="shared" si="13"/>
        <v>Oct</v>
      </c>
    </row>
    <row r="126" spans="1:19" x14ac:dyDescent="0.25">
      <c r="A126" t="s">
        <v>198</v>
      </c>
      <c r="B126" s="1">
        <v>45701</v>
      </c>
      <c r="D126" t="s">
        <v>45</v>
      </c>
      <c r="E126" t="s">
        <v>76</v>
      </c>
      <c r="F126" t="s">
        <v>50</v>
      </c>
      <c r="G126" t="s">
        <v>55</v>
      </c>
      <c r="H126" t="s">
        <v>24</v>
      </c>
      <c r="I126" t="s">
        <v>25</v>
      </c>
      <c r="J126" t="s">
        <v>60</v>
      </c>
      <c r="K126" t="s">
        <v>39</v>
      </c>
      <c r="L126" t="s">
        <v>20</v>
      </c>
      <c r="M126" t="str">
        <f t="shared" si="7"/>
        <v/>
      </c>
      <c r="N126">
        <f t="shared" si="8"/>
        <v>5</v>
      </c>
      <c r="O126" t="str">
        <f t="shared" si="9"/>
        <v>Open</v>
      </c>
      <c r="P126" t="str">
        <f t="shared" si="10"/>
        <v>Feb</v>
      </c>
      <c r="Q126">
        <f t="shared" si="11"/>
        <v>2025</v>
      </c>
      <c r="R126" t="str">
        <f t="shared" si="12"/>
        <v>Open</v>
      </c>
      <c r="S126" t="str">
        <f t="shared" si="13"/>
        <v>Open</v>
      </c>
    </row>
    <row r="127" spans="1:19" x14ac:dyDescent="0.25">
      <c r="A127" t="s">
        <v>199</v>
      </c>
      <c r="B127" s="1">
        <v>46004</v>
      </c>
      <c r="C127" s="1">
        <v>46010</v>
      </c>
      <c r="D127" t="s">
        <v>13</v>
      </c>
      <c r="E127" t="s">
        <v>14</v>
      </c>
      <c r="F127" t="s">
        <v>41</v>
      </c>
      <c r="G127" t="s">
        <v>42</v>
      </c>
      <c r="H127" t="s">
        <v>136</v>
      </c>
      <c r="I127" t="s">
        <v>33</v>
      </c>
      <c r="J127" t="s">
        <v>18</v>
      </c>
      <c r="K127" t="s">
        <v>20</v>
      </c>
      <c r="L127" t="s">
        <v>39</v>
      </c>
      <c r="M127">
        <f t="shared" si="7"/>
        <v>6</v>
      </c>
      <c r="N127">
        <f t="shared" si="8"/>
        <v>7</v>
      </c>
      <c r="O127" t="str">
        <f t="shared" si="9"/>
        <v>Met</v>
      </c>
      <c r="P127" t="str">
        <f t="shared" si="10"/>
        <v>Dec</v>
      </c>
      <c r="Q127">
        <f t="shared" si="11"/>
        <v>2025</v>
      </c>
      <c r="R127" t="str">
        <f t="shared" si="12"/>
        <v>Closed</v>
      </c>
      <c r="S127" t="str">
        <f t="shared" si="13"/>
        <v>Dec</v>
      </c>
    </row>
    <row r="128" spans="1:19" x14ac:dyDescent="0.25">
      <c r="A128" t="s">
        <v>200</v>
      </c>
      <c r="B128" s="1">
        <v>45763</v>
      </c>
      <c r="C128" s="1">
        <v>45763</v>
      </c>
      <c r="D128" t="s">
        <v>28</v>
      </c>
      <c r="E128" t="s">
        <v>29</v>
      </c>
      <c r="F128" t="s">
        <v>30</v>
      </c>
      <c r="G128" t="s">
        <v>23</v>
      </c>
      <c r="H128" t="s">
        <v>136</v>
      </c>
      <c r="I128" t="s">
        <v>69</v>
      </c>
      <c r="J128" t="s">
        <v>26</v>
      </c>
      <c r="K128" t="s">
        <v>20</v>
      </c>
      <c r="L128" t="s">
        <v>19</v>
      </c>
      <c r="M128">
        <f t="shared" si="7"/>
        <v>0</v>
      </c>
      <c r="N128">
        <f t="shared" si="8"/>
        <v>1</v>
      </c>
      <c r="O128" t="str">
        <f t="shared" si="9"/>
        <v>Met</v>
      </c>
      <c r="P128" t="str">
        <f t="shared" si="10"/>
        <v>Apr</v>
      </c>
      <c r="Q128">
        <f t="shared" si="11"/>
        <v>2025</v>
      </c>
      <c r="R128" t="str">
        <f t="shared" si="12"/>
        <v>Closed</v>
      </c>
      <c r="S128" t="str">
        <f t="shared" si="13"/>
        <v>Apr</v>
      </c>
    </row>
    <row r="129" spans="1:19" x14ac:dyDescent="0.25">
      <c r="A129" t="s">
        <v>201</v>
      </c>
      <c r="B129" s="1">
        <v>46002</v>
      </c>
      <c r="C129" s="1">
        <v>46002</v>
      </c>
      <c r="D129" t="s">
        <v>49</v>
      </c>
      <c r="E129" t="s">
        <v>14</v>
      </c>
      <c r="F129" t="s">
        <v>30</v>
      </c>
      <c r="G129" t="s">
        <v>42</v>
      </c>
      <c r="H129" t="s">
        <v>134</v>
      </c>
      <c r="I129" t="s">
        <v>38</v>
      </c>
      <c r="J129" t="s">
        <v>34</v>
      </c>
      <c r="K129" t="s">
        <v>19</v>
      </c>
      <c r="L129" t="s">
        <v>39</v>
      </c>
      <c r="M129">
        <f t="shared" si="7"/>
        <v>0</v>
      </c>
      <c r="N129">
        <f t="shared" si="8"/>
        <v>3</v>
      </c>
      <c r="O129" t="str">
        <f t="shared" si="9"/>
        <v>Met</v>
      </c>
      <c r="P129" t="str">
        <f t="shared" si="10"/>
        <v>Dec</v>
      </c>
      <c r="Q129">
        <f t="shared" si="11"/>
        <v>2025</v>
      </c>
      <c r="R129" t="str">
        <f t="shared" si="12"/>
        <v>Closed</v>
      </c>
      <c r="S129" t="str">
        <f t="shared" si="13"/>
        <v>Dec</v>
      </c>
    </row>
    <row r="130" spans="1:19" x14ac:dyDescent="0.25">
      <c r="A130" t="s">
        <v>202</v>
      </c>
      <c r="B130" s="1">
        <v>45729</v>
      </c>
      <c r="D130" t="s">
        <v>13</v>
      </c>
      <c r="E130" t="s">
        <v>58</v>
      </c>
      <c r="F130" t="s">
        <v>22</v>
      </c>
      <c r="G130" t="s">
        <v>16</v>
      </c>
      <c r="H130" t="s">
        <v>151</v>
      </c>
      <c r="I130" t="s">
        <v>38</v>
      </c>
      <c r="J130" t="s">
        <v>18</v>
      </c>
      <c r="K130" t="s">
        <v>20</v>
      </c>
      <c r="L130" t="s">
        <v>39</v>
      </c>
      <c r="M130" t="str">
        <f t="shared" ref="M130:M193" si="14">IF(C130="","",C130-B130)</f>
        <v/>
      </c>
      <c r="N130">
        <f t="shared" ref="N130:N193" si="15">IF(D130="P1",1,
IF(D130="P2",3,
IF(D130="P3",5,7)))</f>
        <v>7</v>
      </c>
      <c r="O130" t="str">
        <f t="shared" ref="O130:O193" si="16">IF(C130="","Open",
IF(M130&lt;=N130, "Met", "Breached"))</f>
        <v>Open</v>
      </c>
      <c r="P130" t="str">
        <f t="shared" ref="P130:P193" si="17">TEXT(B130,"mmm")</f>
        <v>Mar</v>
      </c>
      <c r="Q130">
        <f t="shared" ref="Q130:Q193" si="18">YEAR(B130)</f>
        <v>2025</v>
      </c>
      <c r="R130" t="str">
        <f t="shared" ref="R130:R193" si="19">IF(C130="","Open","Closed")</f>
        <v>Open</v>
      </c>
      <c r="S130" t="str">
        <f t="shared" ref="S130:S193" si="20">IF(C130="","Open",TEXT(C130,"mmm"))</f>
        <v>Open</v>
      </c>
    </row>
    <row r="131" spans="1:19" x14ac:dyDescent="0.25">
      <c r="A131" t="s">
        <v>203</v>
      </c>
      <c r="B131" s="1">
        <v>45673</v>
      </c>
      <c r="C131" s="1">
        <v>45676</v>
      </c>
      <c r="D131" t="s">
        <v>45</v>
      </c>
      <c r="E131" t="s">
        <v>14</v>
      </c>
      <c r="F131" t="s">
        <v>41</v>
      </c>
      <c r="G131" t="s">
        <v>16</v>
      </c>
      <c r="H131" t="s">
        <v>51</v>
      </c>
      <c r="I131" t="s">
        <v>33</v>
      </c>
      <c r="J131" t="s">
        <v>60</v>
      </c>
      <c r="K131" t="s">
        <v>19</v>
      </c>
      <c r="L131" t="s">
        <v>20</v>
      </c>
      <c r="M131">
        <f t="shared" si="14"/>
        <v>3</v>
      </c>
      <c r="N131">
        <f t="shared" si="15"/>
        <v>5</v>
      </c>
      <c r="O131" t="str">
        <f t="shared" si="16"/>
        <v>Met</v>
      </c>
      <c r="P131" t="str">
        <f t="shared" si="17"/>
        <v>Jan</v>
      </c>
      <c r="Q131">
        <f t="shared" si="18"/>
        <v>2025</v>
      </c>
      <c r="R131" t="str">
        <f t="shared" si="19"/>
        <v>Closed</v>
      </c>
      <c r="S131" t="str">
        <f t="shared" si="20"/>
        <v>Jan</v>
      </c>
    </row>
    <row r="132" spans="1:19" x14ac:dyDescent="0.25">
      <c r="A132" t="s">
        <v>204</v>
      </c>
      <c r="B132" s="1">
        <v>45875</v>
      </c>
      <c r="D132" t="s">
        <v>49</v>
      </c>
      <c r="E132" t="s">
        <v>76</v>
      </c>
      <c r="F132" t="s">
        <v>50</v>
      </c>
      <c r="G132" t="s">
        <v>55</v>
      </c>
      <c r="H132" t="s">
        <v>46</v>
      </c>
      <c r="I132" t="s">
        <v>17</v>
      </c>
      <c r="J132" t="s">
        <v>26</v>
      </c>
      <c r="K132" t="s">
        <v>19</v>
      </c>
      <c r="L132" t="s">
        <v>19</v>
      </c>
      <c r="M132" t="str">
        <f t="shared" si="14"/>
        <v/>
      </c>
      <c r="N132">
        <f t="shared" si="15"/>
        <v>3</v>
      </c>
      <c r="O132" t="str">
        <f t="shared" si="16"/>
        <v>Open</v>
      </c>
      <c r="P132" t="str">
        <f t="shared" si="17"/>
        <v>Aug</v>
      </c>
      <c r="Q132">
        <f t="shared" si="18"/>
        <v>2025</v>
      </c>
      <c r="R132" t="str">
        <f t="shared" si="19"/>
        <v>Open</v>
      </c>
      <c r="S132" t="str">
        <f t="shared" si="20"/>
        <v>Open</v>
      </c>
    </row>
    <row r="133" spans="1:19" x14ac:dyDescent="0.25">
      <c r="A133" t="s">
        <v>205</v>
      </c>
      <c r="B133" s="1">
        <v>45742</v>
      </c>
      <c r="C133" s="1">
        <v>45748</v>
      </c>
      <c r="D133" t="s">
        <v>13</v>
      </c>
      <c r="E133" t="s">
        <v>14</v>
      </c>
      <c r="F133" t="s">
        <v>66</v>
      </c>
      <c r="G133" t="s">
        <v>16</v>
      </c>
      <c r="H133" t="s">
        <v>46</v>
      </c>
      <c r="I133" t="s">
        <v>25</v>
      </c>
      <c r="J133" t="s">
        <v>26</v>
      </c>
      <c r="K133" t="s">
        <v>19</v>
      </c>
      <c r="L133" t="s">
        <v>39</v>
      </c>
      <c r="M133">
        <f t="shared" si="14"/>
        <v>6</v>
      </c>
      <c r="N133">
        <f t="shared" si="15"/>
        <v>7</v>
      </c>
      <c r="O133" t="str">
        <f t="shared" si="16"/>
        <v>Met</v>
      </c>
      <c r="P133" t="str">
        <f t="shared" si="17"/>
        <v>Mar</v>
      </c>
      <c r="Q133">
        <f t="shared" si="18"/>
        <v>2025</v>
      </c>
      <c r="R133" t="str">
        <f t="shared" si="19"/>
        <v>Closed</v>
      </c>
      <c r="S133" t="str">
        <f t="shared" si="20"/>
        <v>Apr</v>
      </c>
    </row>
    <row r="134" spans="1:19" x14ac:dyDescent="0.25">
      <c r="A134" t="s">
        <v>206</v>
      </c>
      <c r="B134" s="1">
        <v>45725</v>
      </c>
      <c r="D134" t="s">
        <v>45</v>
      </c>
      <c r="E134" t="s">
        <v>58</v>
      </c>
      <c r="F134" t="s">
        <v>592</v>
      </c>
      <c r="G134" t="s">
        <v>42</v>
      </c>
      <c r="H134" t="s">
        <v>56</v>
      </c>
      <c r="I134" t="s">
        <v>52</v>
      </c>
      <c r="J134" t="s">
        <v>26</v>
      </c>
      <c r="K134" t="s">
        <v>20</v>
      </c>
      <c r="L134" t="s">
        <v>20</v>
      </c>
      <c r="M134" t="str">
        <f t="shared" si="14"/>
        <v/>
      </c>
      <c r="N134">
        <f t="shared" si="15"/>
        <v>5</v>
      </c>
      <c r="O134" t="str">
        <f t="shared" si="16"/>
        <v>Open</v>
      </c>
      <c r="P134" t="str">
        <f t="shared" si="17"/>
        <v>Mar</v>
      </c>
      <c r="Q134">
        <f t="shared" si="18"/>
        <v>2025</v>
      </c>
      <c r="R134" t="str">
        <f t="shared" si="19"/>
        <v>Open</v>
      </c>
      <c r="S134" t="str">
        <f t="shared" si="20"/>
        <v>Open</v>
      </c>
    </row>
    <row r="135" spans="1:19" x14ac:dyDescent="0.25">
      <c r="A135" t="s">
        <v>207</v>
      </c>
      <c r="B135" s="1">
        <v>45659</v>
      </c>
      <c r="C135" s="1">
        <v>45660</v>
      </c>
      <c r="D135" t="s">
        <v>49</v>
      </c>
      <c r="E135" t="s">
        <v>14</v>
      </c>
      <c r="F135" t="s">
        <v>15</v>
      </c>
      <c r="G135" t="s">
        <v>42</v>
      </c>
      <c r="H135" t="s">
        <v>106</v>
      </c>
      <c r="I135" t="s">
        <v>33</v>
      </c>
      <c r="J135" t="s">
        <v>18</v>
      </c>
      <c r="K135" t="s">
        <v>20</v>
      </c>
      <c r="L135" t="s">
        <v>19</v>
      </c>
      <c r="M135">
        <f t="shared" si="14"/>
        <v>1</v>
      </c>
      <c r="N135">
        <f t="shared" si="15"/>
        <v>3</v>
      </c>
      <c r="O135" t="str">
        <f t="shared" si="16"/>
        <v>Met</v>
      </c>
      <c r="P135" t="str">
        <f t="shared" si="17"/>
        <v>Jan</v>
      </c>
      <c r="Q135">
        <f t="shared" si="18"/>
        <v>2025</v>
      </c>
      <c r="R135" t="str">
        <f t="shared" si="19"/>
        <v>Closed</v>
      </c>
      <c r="S135" t="str">
        <f t="shared" si="20"/>
        <v>Jan</v>
      </c>
    </row>
    <row r="136" spans="1:19" x14ac:dyDescent="0.25">
      <c r="A136" t="s">
        <v>208</v>
      </c>
      <c r="B136" s="1">
        <v>45681</v>
      </c>
      <c r="D136" t="s">
        <v>45</v>
      </c>
      <c r="E136" t="s">
        <v>76</v>
      </c>
      <c r="F136" t="s">
        <v>15</v>
      </c>
      <c r="G136" t="s">
        <v>42</v>
      </c>
      <c r="H136" t="s">
        <v>110</v>
      </c>
      <c r="I136" t="s">
        <v>17</v>
      </c>
      <c r="J136" t="s">
        <v>26</v>
      </c>
      <c r="K136" t="s">
        <v>39</v>
      </c>
      <c r="L136" t="s">
        <v>19</v>
      </c>
      <c r="M136" t="str">
        <f t="shared" si="14"/>
        <v/>
      </c>
      <c r="N136">
        <f t="shared" si="15"/>
        <v>5</v>
      </c>
      <c r="O136" t="str">
        <f t="shared" si="16"/>
        <v>Open</v>
      </c>
      <c r="P136" t="str">
        <f t="shared" si="17"/>
        <v>Jan</v>
      </c>
      <c r="Q136">
        <f t="shared" si="18"/>
        <v>2025</v>
      </c>
      <c r="R136" t="str">
        <f t="shared" si="19"/>
        <v>Open</v>
      </c>
      <c r="S136" t="str">
        <f t="shared" si="20"/>
        <v>Open</v>
      </c>
    </row>
    <row r="137" spans="1:19" x14ac:dyDescent="0.25">
      <c r="A137" t="s">
        <v>209</v>
      </c>
      <c r="B137" s="1">
        <v>45700</v>
      </c>
      <c r="C137" s="1">
        <v>45701</v>
      </c>
      <c r="D137" t="s">
        <v>28</v>
      </c>
      <c r="E137" t="s">
        <v>29</v>
      </c>
      <c r="F137" t="s">
        <v>592</v>
      </c>
      <c r="G137" t="s">
        <v>31</v>
      </c>
      <c r="H137" t="s">
        <v>128</v>
      </c>
      <c r="I137" t="s">
        <v>25</v>
      </c>
      <c r="J137" t="s">
        <v>26</v>
      </c>
      <c r="K137" t="s">
        <v>39</v>
      </c>
      <c r="L137" t="s">
        <v>20</v>
      </c>
      <c r="M137">
        <f t="shared" si="14"/>
        <v>1</v>
      </c>
      <c r="N137">
        <f t="shared" si="15"/>
        <v>1</v>
      </c>
      <c r="O137" t="str">
        <f t="shared" si="16"/>
        <v>Met</v>
      </c>
      <c r="P137" t="str">
        <f t="shared" si="17"/>
        <v>Feb</v>
      </c>
      <c r="Q137">
        <f t="shared" si="18"/>
        <v>2025</v>
      </c>
      <c r="R137" t="str">
        <f t="shared" si="19"/>
        <v>Closed</v>
      </c>
      <c r="S137" t="str">
        <f t="shared" si="20"/>
        <v>Feb</v>
      </c>
    </row>
    <row r="138" spans="1:19" x14ac:dyDescent="0.25">
      <c r="A138" t="s">
        <v>211</v>
      </c>
      <c r="B138" s="1">
        <v>45902</v>
      </c>
      <c r="D138" t="s">
        <v>28</v>
      </c>
      <c r="E138" t="s">
        <v>76</v>
      </c>
      <c r="F138" t="s">
        <v>15</v>
      </c>
      <c r="G138" t="s">
        <v>31</v>
      </c>
      <c r="H138" t="s">
        <v>110</v>
      </c>
      <c r="I138" t="s">
        <v>33</v>
      </c>
      <c r="J138" t="s">
        <v>34</v>
      </c>
      <c r="K138" t="s">
        <v>20</v>
      </c>
      <c r="L138" t="s">
        <v>20</v>
      </c>
      <c r="M138" t="str">
        <f t="shared" si="14"/>
        <v/>
      </c>
      <c r="N138">
        <f t="shared" si="15"/>
        <v>1</v>
      </c>
      <c r="O138" t="str">
        <f t="shared" si="16"/>
        <v>Open</v>
      </c>
      <c r="P138" t="str">
        <f t="shared" si="17"/>
        <v>Sep</v>
      </c>
      <c r="Q138">
        <f t="shared" si="18"/>
        <v>2025</v>
      </c>
      <c r="R138" t="str">
        <f t="shared" si="19"/>
        <v>Open</v>
      </c>
      <c r="S138" t="str">
        <f t="shared" si="20"/>
        <v>Open</v>
      </c>
    </row>
    <row r="139" spans="1:19" x14ac:dyDescent="0.25">
      <c r="A139" t="s">
        <v>212</v>
      </c>
      <c r="B139" s="1">
        <v>45979</v>
      </c>
      <c r="C139" s="1">
        <v>45982</v>
      </c>
      <c r="D139" t="s">
        <v>28</v>
      </c>
      <c r="E139" t="s">
        <v>14</v>
      </c>
      <c r="F139" t="s">
        <v>66</v>
      </c>
      <c r="G139" t="s">
        <v>23</v>
      </c>
      <c r="H139" t="s">
        <v>59</v>
      </c>
      <c r="I139" t="s">
        <v>17</v>
      </c>
      <c r="J139" t="s">
        <v>26</v>
      </c>
      <c r="K139" t="s">
        <v>19</v>
      </c>
      <c r="L139" t="s">
        <v>39</v>
      </c>
      <c r="M139">
        <f t="shared" si="14"/>
        <v>3</v>
      </c>
      <c r="N139">
        <f t="shared" si="15"/>
        <v>1</v>
      </c>
      <c r="O139" t="str">
        <f t="shared" si="16"/>
        <v>Breached</v>
      </c>
      <c r="P139" t="str">
        <f t="shared" si="17"/>
        <v>Nov</v>
      </c>
      <c r="Q139">
        <f t="shared" si="18"/>
        <v>2025</v>
      </c>
      <c r="R139" t="str">
        <f t="shared" si="19"/>
        <v>Closed</v>
      </c>
      <c r="S139" t="str">
        <f t="shared" si="20"/>
        <v>Nov</v>
      </c>
    </row>
    <row r="140" spans="1:19" x14ac:dyDescent="0.25">
      <c r="A140" t="s">
        <v>213</v>
      </c>
      <c r="B140" s="1">
        <v>45995</v>
      </c>
      <c r="C140" s="1">
        <v>46001</v>
      </c>
      <c r="D140" t="s">
        <v>28</v>
      </c>
      <c r="E140" t="s">
        <v>14</v>
      </c>
      <c r="F140" t="s">
        <v>36</v>
      </c>
      <c r="G140" t="s">
        <v>31</v>
      </c>
      <c r="H140" t="s">
        <v>136</v>
      </c>
      <c r="I140" t="s">
        <v>69</v>
      </c>
      <c r="J140" t="s">
        <v>26</v>
      </c>
      <c r="K140" t="s">
        <v>39</v>
      </c>
      <c r="L140" t="s">
        <v>20</v>
      </c>
      <c r="M140">
        <f t="shared" si="14"/>
        <v>6</v>
      </c>
      <c r="N140">
        <f t="shared" si="15"/>
        <v>1</v>
      </c>
      <c r="O140" t="str">
        <f t="shared" si="16"/>
        <v>Breached</v>
      </c>
      <c r="P140" t="str">
        <f t="shared" si="17"/>
        <v>Dec</v>
      </c>
      <c r="Q140">
        <f t="shared" si="18"/>
        <v>2025</v>
      </c>
      <c r="R140" t="str">
        <f t="shared" si="19"/>
        <v>Closed</v>
      </c>
      <c r="S140" t="str">
        <f t="shared" si="20"/>
        <v>Dec</v>
      </c>
    </row>
    <row r="141" spans="1:19" x14ac:dyDescent="0.25">
      <c r="A141" t="s">
        <v>214</v>
      </c>
      <c r="B141" s="1">
        <v>45949</v>
      </c>
      <c r="C141" s="1">
        <v>45951</v>
      </c>
      <c r="D141" t="s">
        <v>13</v>
      </c>
      <c r="E141" t="s">
        <v>29</v>
      </c>
      <c r="F141" t="s">
        <v>15</v>
      </c>
      <c r="G141" t="s">
        <v>42</v>
      </c>
      <c r="H141" t="s">
        <v>128</v>
      </c>
      <c r="I141" t="s">
        <v>52</v>
      </c>
      <c r="J141" t="s">
        <v>18</v>
      </c>
      <c r="K141" t="s">
        <v>39</v>
      </c>
      <c r="L141" t="s">
        <v>19</v>
      </c>
      <c r="M141">
        <f t="shared" si="14"/>
        <v>2</v>
      </c>
      <c r="N141">
        <f t="shared" si="15"/>
        <v>7</v>
      </c>
      <c r="O141" t="str">
        <f t="shared" si="16"/>
        <v>Met</v>
      </c>
      <c r="P141" t="str">
        <f t="shared" si="17"/>
        <v>Oct</v>
      </c>
      <c r="Q141">
        <f t="shared" si="18"/>
        <v>2025</v>
      </c>
      <c r="R141" t="str">
        <f t="shared" si="19"/>
        <v>Closed</v>
      </c>
      <c r="S141" t="str">
        <f t="shared" si="20"/>
        <v>Oct</v>
      </c>
    </row>
    <row r="142" spans="1:19" x14ac:dyDescent="0.25">
      <c r="A142" t="s">
        <v>215</v>
      </c>
      <c r="B142" s="1">
        <v>45973</v>
      </c>
      <c r="D142" t="s">
        <v>49</v>
      </c>
      <c r="E142" t="s">
        <v>58</v>
      </c>
      <c r="F142" t="s">
        <v>30</v>
      </c>
      <c r="G142" t="s">
        <v>55</v>
      </c>
      <c r="H142" t="s">
        <v>77</v>
      </c>
      <c r="I142" t="s">
        <v>25</v>
      </c>
      <c r="J142" t="s">
        <v>34</v>
      </c>
      <c r="K142" t="s">
        <v>39</v>
      </c>
      <c r="L142" t="s">
        <v>20</v>
      </c>
      <c r="M142" t="str">
        <f t="shared" si="14"/>
        <v/>
      </c>
      <c r="N142">
        <f t="shared" si="15"/>
        <v>3</v>
      </c>
      <c r="O142" t="str">
        <f t="shared" si="16"/>
        <v>Open</v>
      </c>
      <c r="P142" t="str">
        <f t="shared" si="17"/>
        <v>Nov</v>
      </c>
      <c r="Q142">
        <f t="shared" si="18"/>
        <v>2025</v>
      </c>
      <c r="R142" t="str">
        <f t="shared" si="19"/>
        <v>Open</v>
      </c>
      <c r="S142" t="str">
        <f t="shared" si="20"/>
        <v>Open</v>
      </c>
    </row>
    <row r="143" spans="1:19" x14ac:dyDescent="0.25">
      <c r="A143" t="s">
        <v>216</v>
      </c>
      <c r="B143" s="1">
        <v>45971</v>
      </c>
      <c r="C143" s="1">
        <v>45971</v>
      </c>
      <c r="D143" t="s">
        <v>45</v>
      </c>
      <c r="E143" t="s">
        <v>14</v>
      </c>
      <c r="F143" t="s">
        <v>66</v>
      </c>
      <c r="G143" t="s">
        <v>23</v>
      </c>
      <c r="H143" t="s">
        <v>110</v>
      </c>
      <c r="I143" t="s">
        <v>52</v>
      </c>
      <c r="J143" t="s">
        <v>60</v>
      </c>
      <c r="K143" t="s">
        <v>39</v>
      </c>
      <c r="L143" t="s">
        <v>20</v>
      </c>
      <c r="M143">
        <f t="shared" si="14"/>
        <v>0</v>
      </c>
      <c r="N143">
        <f t="shared" si="15"/>
        <v>5</v>
      </c>
      <c r="O143" t="str">
        <f t="shared" si="16"/>
        <v>Met</v>
      </c>
      <c r="P143" t="str">
        <f t="shared" si="17"/>
        <v>Nov</v>
      </c>
      <c r="Q143">
        <f t="shared" si="18"/>
        <v>2025</v>
      </c>
      <c r="R143" t="str">
        <f t="shared" si="19"/>
        <v>Closed</v>
      </c>
      <c r="S143" t="str">
        <f t="shared" si="20"/>
        <v>Nov</v>
      </c>
    </row>
    <row r="144" spans="1:19" x14ac:dyDescent="0.25">
      <c r="A144" t="s">
        <v>217</v>
      </c>
      <c r="B144" s="1">
        <v>45797</v>
      </c>
      <c r="C144" s="1">
        <v>45798</v>
      </c>
      <c r="D144" t="s">
        <v>28</v>
      </c>
      <c r="E144" t="s">
        <v>29</v>
      </c>
      <c r="F144" t="s">
        <v>22</v>
      </c>
      <c r="G144" t="s">
        <v>55</v>
      </c>
      <c r="H144" t="s">
        <v>46</v>
      </c>
      <c r="I144" t="s">
        <v>25</v>
      </c>
      <c r="J144" t="s">
        <v>60</v>
      </c>
      <c r="K144" t="s">
        <v>39</v>
      </c>
      <c r="L144" t="s">
        <v>39</v>
      </c>
      <c r="M144">
        <f t="shared" si="14"/>
        <v>1</v>
      </c>
      <c r="N144">
        <f t="shared" si="15"/>
        <v>1</v>
      </c>
      <c r="O144" t="str">
        <f t="shared" si="16"/>
        <v>Met</v>
      </c>
      <c r="P144" t="str">
        <f t="shared" si="17"/>
        <v>May</v>
      </c>
      <c r="Q144">
        <f t="shared" si="18"/>
        <v>2025</v>
      </c>
      <c r="R144" t="str">
        <f t="shared" si="19"/>
        <v>Closed</v>
      </c>
      <c r="S144" t="str">
        <f t="shared" si="20"/>
        <v>May</v>
      </c>
    </row>
    <row r="145" spans="1:19" x14ac:dyDescent="0.25">
      <c r="A145" t="s">
        <v>218</v>
      </c>
      <c r="B145" s="1">
        <v>45854</v>
      </c>
      <c r="C145" s="1">
        <v>45855</v>
      </c>
      <c r="D145" t="s">
        <v>28</v>
      </c>
      <c r="E145" t="s">
        <v>14</v>
      </c>
      <c r="F145" t="s">
        <v>592</v>
      </c>
      <c r="G145" t="s">
        <v>55</v>
      </c>
      <c r="H145" t="s">
        <v>46</v>
      </c>
      <c r="I145" t="s">
        <v>17</v>
      </c>
      <c r="J145" t="s">
        <v>34</v>
      </c>
      <c r="K145" t="s">
        <v>19</v>
      </c>
      <c r="L145" t="s">
        <v>39</v>
      </c>
      <c r="M145">
        <f t="shared" si="14"/>
        <v>1</v>
      </c>
      <c r="N145">
        <f t="shared" si="15"/>
        <v>1</v>
      </c>
      <c r="O145" t="str">
        <f t="shared" si="16"/>
        <v>Met</v>
      </c>
      <c r="P145" t="str">
        <f t="shared" si="17"/>
        <v>Jul</v>
      </c>
      <c r="Q145">
        <f t="shared" si="18"/>
        <v>2025</v>
      </c>
      <c r="R145" t="str">
        <f t="shared" si="19"/>
        <v>Closed</v>
      </c>
      <c r="S145" t="str">
        <f t="shared" si="20"/>
        <v>Jul</v>
      </c>
    </row>
    <row r="146" spans="1:19" x14ac:dyDescent="0.25">
      <c r="A146" t="s">
        <v>219</v>
      </c>
      <c r="B146" s="1">
        <v>45693</v>
      </c>
      <c r="C146" s="1">
        <v>45700</v>
      </c>
      <c r="D146" t="s">
        <v>49</v>
      </c>
      <c r="E146" t="s">
        <v>14</v>
      </c>
      <c r="F146" t="s">
        <v>22</v>
      </c>
      <c r="G146" t="s">
        <v>42</v>
      </c>
      <c r="H146" t="s">
        <v>151</v>
      </c>
      <c r="I146" t="s">
        <v>52</v>
      </c>
      <c r="J146" t="s">
        <v>34</v>
      </c>
      <c r="K146" t="s">
        <v>39</v>
      </c>
      <c r="L146" t="s">
        <v>39</v>
      </c>
      <c r="M146">
        <f t="shared" si="14"/>
        <v>7</v>
      </c>
      <c r="N146">
        <f t="shared" si="15"/>
        <v>3</v>
      </c>
      <c r="O146" t="str">
        <f t="shared" si="16"/>
        <v>Breached</v>
      </c>
      <c r="P146" t="str">
        <f t="shared" si="17"/>
        <v>Feb</v>
      </c>
      <c r="Q146">
        <f t="shared" si="18"/>
        <v>2025</v>
      </c>
      <c r="R146" t="str">
        <f t="shared" si="19"/>
        <v>Closed</v>
      </c>
      <c r="S146" t="str">
        <f t="shared" si="20"/>
        <v>Feb</v>
      </c>
    </row>
    <row r="147" spans="1:19" x14ac:dyDescent="0.25">
      <c r="A147" t="s">
        <v>220</v>
      </c>
      <c r="B147" s="1">
        <v>45670</v>
      </c>
      <c r="D147" t="s">
        <v>13</v>
      </c>
      <c r="E147" t="s">
        <v>58</v>
      </c>
      <c r="F147" t="s">
        <v>36</v>
      </c>
      <c r="G147" t="s">
        <v>23</v>
      </c>
      <c r="H147" t="s">
        <v>128</v>
      </c>
      <c r="I147" t="s">
        <v>38</v>
      </c>
      <c r="J147" t="s">
        <v>60</v>
      </c>
      <c r="K147" t="s">
        <v>39</v>
      </c>
      <c r="L147" t="s">
        <v>19</v>
      </c>
      <c r="M147" t="str">
        <f t="shared" si="14"/>
        <v/>
      </c>
      <c r="N147">
        <f t="shared" si="15"/>
        <v>7</v>
      </c>
      <c r="O147" t="str">
        <f t="shared" si="16"/>
        <v>Open</v>
      </c>
      <c r="P147" t="str">
        <f t="shared" si="17"/>
        <v>Jan</v>
      </c>
      <c r="Q147">
        <f t="shared" si="18"/>
        <v>2025</v>
      </c>
      <c r="R147" t="str">
        <f t="shared" si="19"/>
        <v>Open</v>
      </c>
      <c r="S147" t="str">
        <f t="shared" si="20"/>
        <v>Open</v>
      </c>
    </row>
    <row r="148" spans="1:19" x14ac:dyDescent="0.25">
      <c r="A148" t="s">
        <v>221</v>
      </c>
      <c r="B148" s="1">
        <v>45680</v>
      </c>
      <c r="C148" s="1">
        <v>45682</v>
      </c>
      <c r="D148" t="s">
        <v>45</v>
      </c>
      <c r="E148" t="s">
        <v>14</v>
      </c>
      <c r="F148" t="s">
        <v>15</v>
      </c>
      <c r="G148" t="s">
        <v>55</v>
      </c>
      <c r="H148" t="s">
        <v>110</v>
      </c>
      <c r="I148" t="s">
        <v>47</v>
      </c>
      <c r="J148" t="s">
        <v>26</v>
      </c>
      <c r="K148" t="s">
        <v>20</v>
      </c>
      <c r="L148" t="s">
        <v>19</v>
      </c>
      <c r="M148">
        <f t="shared" si="14"/>
        <v>2</v>
      </c>
      <c r="N148">
        <f t="shared" si="15"/>
        <v>5</v>
      </c>
      <c r="O148" t="str">
        <f t="shared" si="16"/>
        <v>Met</v>
      </c>
      <c r="P148" t="str">
        <f t="shared" si="17"/>
        <v>Jan</v>
      </c>
      <c r="Q148">
        <f t="shared" si="18"/>
        <v>2025</v>
      </c>
      <c r="R148" t="str">
        <f t="shared" si="19"/>
        <v>Closed</v>
      </c>
      <c r="S148" t="str">
        <f t="shared" si="20"/>
        <v>Jan</v>
      </c>
    </row>
    <row r="149" spans="1:19" x14ac:dyDescent="0.25">
      <c r="A149" t="s">
        <v>222</v>
      </c>
      <c r="B149" s="1">
        <v>45825</v>
      </c>
      <c r="C149" s="1">
        <v>45826</v>
      </c>
      <c r="D149" t="s">
        <v>13</v>
      </c>
      <c r="E149" t="s">
        <v>29</v>
      </c>
      <c r="F149" t="s">
        <v>15</v>
      </c>
      <c r="G149" t="s">
        <v>16</v>
      </c>
      <c r="H149" t="s">
        <v>32</v>
      </c>
      <c r="I149" t="s">
        <v>69</v>
      </c>
      <c r="J149" t="s">
        <v>60</v>
      </c>
      <c r="K149" t="s">
        <v>39</v>
      </c>
      <c r="L149" t="s">
        <v>39</v>
      </c>
      <c r="M149">
        <f t="shared" si="14"/>
        <v>1</v>
      </c>
      <c r="N149">
        <f t="shared" si="15"/>
        <v>7</v>
      </c>
      <c r="O149" t="str">
        <f t="shared" si="16"/>
        <v>Met</v>
      </c>
      <c r="P149" t="str">
        <f t="shared" si="17"/>
        <v>Jun</v>
      </c>
      <c r="Q149">
        <f t="shared" si="18"/>
        <v>2025</v>
      </c>
      <c r="R149" t="str">
        <f t="shared" si="19"/>
        <v>Closed</v>
      </c>
      <c r="S149" t="str">
        <f t="shared" si="20"/>
        <v>Jun</v>
      </c>
    </row>
    <row r="150" spans="1:19" x14ac:dyDescent="0.25">
      <c r="A150" t="s">
        <v>223</v>
      </c>
      <c r="B150" s="1">
        <v>45813</v>
      </c>
      <c r="C150" s="1">
        <v>45818</v>
      </c>
      <c r="D150" t="s">
        <v>13</v>
      </c>
      <c r="E150" t="s">
        <v>14</v>
      </c>
      <c r="F150" t="s">
        <v>22</v>
      </c>
      <c r="G150" t="s">
        <v>31</v>
      </c>
      <c r="H150" t="s">
        <v>591</v>
      </c>
      <c r="I150" t="s">
        <v>33</v>
      </c>
      <c r="J150" t="s">
        <v>34</v>
      </c>
      <c r="K150" t="s">
        <v>39</v>
      </c>
      <c r="L150" t="s">
        <v>20</v>
      </c>
      <c r="M150">
        <f t="shared" si="14"/>
        <v>5</v>
      </c>
      <c r="N150">
        <f t="shared" si="15"/>
        <v>7</v>
      </c>
      <c r="O150" t="str">
        <f t="shared" si="16"/>
        <v>Met</v>
      </c>
      <c r="P150" t="str">
        <f t="shared" si="17"/>
        <v>Jun</v>
      </c>
      <c r="Q150">
        <f t="shared" si="18"/>
        <v>2025</v>
      </c>
      <c r="R150" t="str">
        <f t="shared" si="19"/>
        <v>Closed</v>
      </c>
      <c r="S150" t="str">
        <f t="shared" si="20"/>
        <v>Jun</v>
      </c>
    </row>
    <row r="151" spans="1:19" x14ac:dyDescent="0.25">
      <c r="A151" t="s">
        <v>224</v>
      </c>
      <c r="B151" s="1">
        <v>45729</v>
      </c>
      <c r="D151" t="s">
        <v>28</v>
      </c>
      <c r="E151" t="s">
        <v>58</v>
      </c>
      <c r="F151" t="s">
        <v>30</v>
      </c>
      <c r="G151" t="s">
        <v>55</v>
      </c>
      <c r="H151" t="s">
        <v>62</v>
      </c>
      <c r="I151" t="s">
        <v>25</v>
      </c>
      <c r="J151" t="s">
        <v>60</v>
      </c>
      <c r="K151" t="s">
        <v>39</v>
      </c>
      <c r="L151" t="s">
        <v>19</v>
      </c>
      <c r="M151" t="str">
        <f t="shared" si="14"/>
        <v/>
      </c>
      <c r="N151">
        <f t="shared" si="15"/>
        <v>1</v>
      </c>
      <c r="O151" t="str">
        <f t="shared" si="16"/>
        <v>Open</v>
      </c>
      <c r="P151" t="str">
        <f t="shared" si="17"/>
        <v>Mar</v>
      </c>
      <c r="Q151">
        <f t="shared" si="18"/>
        <v>2025</v>
      </c>
      <c r="R151" t="str">
        <f t="shared" si="19"/>
        <v>Open</v>
      </c>
      <c r="S151" t="str">
        <f t="shared" si="20"/>
        <v>Open</v>
      </c>
    </row>
    <row r="152" spans="1:19" x14ac:dyDescent="0.25">
      <c r="A152" t="s">
        <v>225</v>
      </c>
      <c r="B152" s="1">
        <v>45723</v>
      </c>
      <c r="D152" t="s">
        <v>49</v>
      </c>
      <c r="E152" t="s">
        <v>76</v>
      </c>
      <c r="F152" t="s">
        <v>15</v>
      </c>
      <c r="G152" t="s">
        <v>42</v>
      </c>
      <c r="H152" t="s">
        <v>43</v>
      </c>
      <c r="I152" t="s">
        <v>69</v>
      </c>
      <c r="J152" t="s">
        <v>34</v>
      </c>
      <c r="K152" t="s">
        <v>39</v>
      </c>
      <c r="L152" t="s">
        <v>20</v>
      </c>
      <c r="M152" t="str">
        <f t="shared" si="14"/>
        <v/>
      </c>
      <c r="N152">
        <f t="shared" si="15"/>
        <v>3</v>
      </c>
      <c r="O152" t="str">
        <f t="shared" si="16"/>
        <v>Open</v>
      </c>
      <c r="P152" t="str">
        <f t="shared" si="17"/>
        <v>Mar</v>
      </c>
      <c r="Q152">
        <f t="shared" si="18"/>
        <v>2025</v>
      </c>
      <c r="R152" t="str">
        <f t="shared" si="19"/>
        <v>Open</v>
      </c>
      <c r="S152" t="str">
        <f t="shared" si="20"/>
        <v>Open</v>
      </c>
    </row>
    <row r="153" spans="1:19" x14ac:dyDescent="0.25">
      <c r="A153" t="s">
        <v>226</v>
      </c>
      <c r="B153" s="1">
        <v>45734</v>
      </c>
      <c r="D153" t="s">
        <v>49</v>
      </c>
      <c r="E153" t="s">
        <v>76</v>
      </c>
      <c r="F153" t="s">
        <v>50</v>
      </c>
      <c r="G153" t="s">
        <v>42</v>
      </c>
      <c r="H153" t="s">
        <v>32</v>
      </c>
      <c r="I153" t="s">
        <v>52</v>
      </c>
      <c r="J153" t="s">
        <v>60</v>
      </c>
      <c r="K153" t="s">
        <v>20</v>
      </c>
      <c r="L153" t="s">
        <v>19</v>
      </c>
      <c r="M153" t="str">
        <f t="shared" si="14"/>
        <v/>
      </c>
      <c r="N153">
        <f t="shared" si="15"/>
        <v>3</v>
      </c>
      <c r="O153" t="str">
        <f t="shared" si="16"/>
        <v>Open</v>
      </c>
      <c r="P153" t="str">
        <f t="shared" si="17"/>
        <v>Mar</v>
      </c>
      <c r="Q153">
        <f t="shared" si="18"/>
        <v>2025</v>
      </c>
      <c r="R153" t="str">
        <f t="shared" si="19"/>
        <v>Open</v>
      </c>
      <c r="S153" t="str">
        <f t="shared" si="20"/>
        <v>Open</v>
      </c>
    </row>
    <row r="154" spans="1:19" x14ac:dyDescent="0.25">
      <c r="A154" t="s">
        <v>227</v>
      </c>
      <c r="B154" s="1">
        <v>45936</v>
      </c>
      <c r="C154" s="1">
        <v>45937</v>
      </c>
      <c r="D154" t="s">
        <v>49</v>
      </c>
      <c r="E154" t="s">
        <v>14</v>
      </c>
      <c r="F154" t="s">
        <v>22</v>
      </c>
      <c r="G154" t="s">
        <v>42</v>
      </c>
      <c r="H154" t="s">
        <v>134</v>
      </c>
      <c r="I154" t="s">
        <v>25</v>
      </c>
      <c r="J154" t="s">
        <v>34</v>
      </c>
      <c r="K154" t="s">
        <v>19</v>
      </c>
      <c r="L154" t="s">
        <v>39</v>
      </c>
      <c r="M154">
        <f t="shared" si="14"/>
        <v>1</v>
      </c>
      <c r="N154">
        <f t="shared" si="15"/>
        <v>3</v>
      </c>
      <c r="O154" t="str">
        <f t="shared" si="16"/>
        <v>Met</v>
      </c>
      <c r="P154" t="str">
        <f t="shared" si="17"/>
        <v>Oct</v>
      </c>
      <c r="Q154">
        <f t="shared" si="18"/>
        <v>2025</v>
      </c>
      <c r="R154" t="str">
        <f t="shared" si="19"/>
        <v>Closed</v>
      </c>
      <c r="S154" t="str">
        <f t="shared" si="20"/>
        <v>Oct</v>
      </c>
    </row>
    <row r="155" spans="1:19" x14ac:dyDescent="0.25">
      <c r="A155" t="s">
        <v>229</v>
      </c>
      <c r="B155" s="1">
        <v>45686</v>
      </c>
      <c r="C155" s="1">
        <v>45688</v>
      </c>
      <c r="D155" t="s">
        <v>49</v>
      </c>
      <c r="E155" t="s">
        <v>14</v>
      </c>
      <c r="F155" t="s">
        <v>66</v>
      </c>
      <c r="G155" t="s">
        <v>16</v>
      </c>
      <c r="H155" t="s">
        <v>591</v>
      </c>
      <c r="I155" t="s">
        <v>33</v>
      </c>
      <c r="J155" t="s">
        <v>34</v>
      </c>
      <c r="K155" t="s">
        <v>20</v>
      </c>
      <c r="L155" t="s">
        <v>19</v>
      </c>
      <c r="M155">
        <f t="shared" si="14"/>
        <v>2</v>
      </c>
      <c r="N155">
        <f t="shared" si="15"/>
        <v>3</v>
      </c>
      <c r="O155" t="str">
        <f t="shared" si="16"/>
        <v>Met</v>
      </c>
      <c r="P155" t="str">
        <f t="shared" si="17"/>
        <v>Jan</v>
      </c>
      <c r="Q155">
        <f t="shared" si="18"/>
        <v>2025</v>
      </c>
      <c r="R155" t="str">
        <f t="shared" si="19"/>
        <v>Closed</v>
      </c>
      <c r="S155" t="str">
        <f t="shared" si="20"/>
        <v>Jan</v>
      </c>
    </row>
    <row r="156" spans="1:19" x14ac:dyDescent="0.25">
      <c r="A156" t="s">
        <v>230</v>
      </c>
      <c r="B156" s="1">
        <v>45909</v>
      </c>
      <c r="D156" t="s">
        <v>45</v>
      </c>
      <c r="E156" t="s">
        <v>76</v>
      </c>
      <c r="F156" t="s">
        <v>36</v>
      </c>
      <c r="G156" t="s">
        <v>31</v>
      </c>
      <c r="H156" t="s">
        <v>79</v>
      </c>
      <c r="I156" t="s">
        <v>25</v>
      </c>
      <c r="J156" t="s">
        <v>60</v>
      </c>
      <c r="K156" t="s">
        <v>39</v>
      </c>
      <c r="L156" t="s">
        <v>19</v>
      </c>
      <c r="M156" t="str">
        <f t="shared" si="14"/>
        <v/>
      </c>
      <c r="N156">
        <f t="shared" si="15"/>
        <v>5</v>
      </c>
      <c r="O156" t="str">
        <f t="shared" si="16"/>
        <v>Open</v>
      </c>
      <c r="P156" t="str">
        <f t="shared" si="17"/>
        <v>Sep</v>
      </c>
      <c r="Q156">
        <f t="shared" si="18"/>
        <v>2025</v>
      </c>
      <c r="R156" t="str">
        <f t="shared" si="19"/>
        <v>Open</v>
      </c>
      <c r="S156" t="str">
        <f t="shared" si="20"/>
        <v>Open</v>
      </c>
    </row>
    <row r="157" spans="1:19" x14ac:dyDescent="0.25">
      <c r="A157" t="s">
        <v>231</v>
      </c>
      <c r="B157" s="1">
        <v>45730</v>
      </c>
      <c r="C157" s="1">
        <v>45730</v>
      </c>
      <c r="D157" t="s">
        <v>49</v>
      </c>
      <c r="E157" t="s">
        <v>14</v>
      </c>
      <c r="F157" t="s">
        <v>15</v>
      </c>
      <c r="G157" t="s">
        <v>42</v>
      </c>
      <c r="H157" t="s">
        <v>151</v>
      </c>
      <c r="I157" t="s">
        <v>52</v>
      </c>
      <c r="J157" t="s">
        <v>26</v>
      </c>
      <c r="K157" t="s">
        <v>39</v>
      </c>
      <c r="L157" t="s">
        <v>19</v>
      </c>
      <c r="M157">
        <f t="shared" si="14"/>
        <v>0</v>
      </c>
      <c r="N157">
        <f t="shared" si="15"/>
        <v>3</v>
      </c>
      <c r="O157" t="str">
        <f t="shared" si="16"/>
        <v>Met</v>
      </c>
      <c r="P157" t="str">
        <f t="shared" si="17"/>
        <v>Mar</v>
      </c>
      <c r="Q157">
        <f t="shared" si="18"/>
        <v>2025</v>
      </c>
      <c r="R157" t="str">
        <f t="shared" si="19"/>
        <v>Closed</v>
      </c>
      <c r="S157" t="str">
        <f t="shared" si="20"/>
        <v>Mar</v>
      </c>
    </row>
    <row r="158" spans="1:19" x14ac:dyDescent="0.25">
      <c r="A158" t="s">
        <v>232</v>
      </c>
      <c r="B158" s="1">
        <v>45747</v>
      </c>
      <c r="C158" s="1">
        <v>45748</v>
      </c>
      <c r="D158" t="s">
        <v>28</v>
      </c>
      <c r="E158" t="s">
        <v>29</v>
      </c>
      <c r="F158" t="s">
        <v>592</v>
      </c>
      <c r="G158" t="s">
        <v>23</v>
      </c>
      <c r="H158" t="s">
        <v>136</v>
      </c>
      <c r="I158" t="s">
        <v>38</v>
      </c>
      <c r="J158" t="s">
        <v>34</v>
      </c>
      <c r="K158" t="s">
        <v>20</v>
      </c>
      <c r="L158" t="s">
        <v>19</v>
      </c>
      <c r="M158">
        <f t="shared" si="14"/>
        <v>1</v>
      </c>
      <c r="N158">
        <f t="shared" si="15"/>
        <v>1</v>
      </c>
      <c r="O158" t="str">
        <f t="shared" si="16"/>
        <v>Met</v>
      </c>
      <c r="P158" t="str">
        <f t="shared" si="17"/>
        <v>Mar</v>
      </c>
      <c r="Q158">
        <f t="shared" si="18"/>
        <v>2025</v>
      </c>
      <c r="R158" t="str">
        <f t="shared" si="19"/>
        <v>Closed</v>
      </c>
      <c r="S158" t="str">
        <f t="shared" si="20"/>
        <v>Apr</v>
      </c>
    </row>
    <row r="159" spans="1:19" x14ac:dyDescent="0.25">
      <c r="A159" t="s">
        <v>233</v>
      </c>
      <c r="B159" s="1">
        <v>45835</v>
      </c>
      <c r="C159" s="1">
        <v>45836</v>
      </c>
      <c r="D159" t="s">
        <v>13</v>
      </c>
      <c r="E159" t="s">
        <v>14</v>
      </c>
      <c r="F159" t="s">
        <v>22</v>
      </c>
      <c r="G159" t="s">
        <v>23</v>
      </c>
      <c r="H159" t="s">
        <v>95</v>
      </c>
      <c r="I159" t="s">
        <v>52</v>
      </c>
      <c r="J159" t="s">
        <v>18</v>
      </c>
      <c r="K159" t="s">
        <v>39</v>
      </c>
      <c r="L159" t="s">
        <v>20</v>
      </c>
      <c r="M159">
        <f t="shared" si="14"/>
        <v>1</v>
      </c>
      <c r="N159">
        <f t="shared" si="15"/>
        <v>7</v>
      </c>
      <c r="O159" t="str">
        <f t="shared" si="16"/>
        <v>Met</v>
      </c>
      <c r="P159" t="str">
        <f t="shared" si="17"/>
        <v>Jun</v>
      </c>
      <c r="Q159">
        <f t="shared" si="18"/>
        <v>2025</v>
      </c>
      <c r="R159" t="str">
        <f t="shared" si="19"/>
        <v>Closed</v>
      </c>
      <c r="S159" t="str">
        <f t="shared" si="20"/>
        <v>Jun</v>
      </c>
    </row>
    <row r="160" spans="1:19" x14ac:dyDescent="0.25">
      <c r="A160" t="s">
        <v>234</v>
      </c>
      <c r="B160" s="1">
        <v>45851</v>
      </c>
      <c r="C160" s="1">
        <v>45853</v>
      </c>
      <c r="D160" t="s">
        <v>49</v>
      </c>
      <c r="E160" t="s">
        <v>29</v>
      </c>
      <c r="F160" t="s">
        <v>30</v>
      </c>
      <c r="G160" t="s">
        <v>23</v>
      </c>
      <c r="H160" t="s">
        <v>46</v>
      </c>
      <c r="I160" t="s">
        <v>38</v>
      </c>
      <c r="J160" t="s">
        <v>34</v>
      </c>
      <c r="K160" t="s">
        <v>19</v>
      </c>
      <c r="L160" t="s">
        <v>39</v>
      </c>
      <c r="M160">
        <f t="shared" si="14"/>
        <v>2</v>
      </c>
      <c r="N160">
        <f t="shared" si="15"/>
        <v>3</v>
      </c>
      <c r="O160" t="str">
        <f t="shared" si="16"/>
        <v>Met</v>
      </c>
      <c r="P160" t="str">
        <f t="shared" si="17"/>
        <v>Jul</v>
      </c>
      <c r="Q160">
        <f t="shared" si="18"/>
        <v>2025</v>
      </c>
      <c r="R160" t="str">
        <f t="shared" si="19"/>
        <v>Closed</v>
      </c>
      <c r="S160" t="str">
        <f t="shared" si="20"/>
        <v>Jul</v>
      </c>
    </row>
    <row r="161" spans="1:19" x14ac:dyDescent="0.25">
      <c r="A161" t="s">
        <v>235</v>
      </c>
      <c r="B161" s="1">
        <v>45705</v>
      </c>
      <c r="C161" s="1">
        <v>45707</v>
      </c>
      <c r="D161" t="s">
        <v>45</v>
      </c>
      <c r="E161" t="s">
        <v>29</v>
      </c>
      <c r="F161" t="s">
        <v>592</v>
      </c>
      <c r="G161" t="s">
        <v>16</v>
      </c>
      <c r="H161" t="s">
        <v>51</v>
      </c>
      <c r="I161" t="s">
        <v>69</v>
      </c>
      <c r="J161" t="s">
        <v>34</v>
      </c>
      <c r="K161" t="s">
        <v>39</v>
      </c>
      <c r="L161" t="s">
        <v>39</v>
      </c>
      <c r="M161">
        <f t="shared" si="14"/>
        <v>2</v>
      </c>
      <c r="N161">
        <f t="shared" si="15"/>
        <v>5</v>
      </c>
      <c r="O161" t="str">
        <f t="shared" si="16"/>
        <v>Met</v>
      </c>
      <c r="P161" t="str">
        <f t="shared" si="17"/>
        <v>Feb</v>
      </c>
      <c r="Q161">
        <f t="shared" si="18"/>
        <v>2025</v>
      </c>
      <c r="R161" t="str">
        <f t="shared" si="19"/>
        <v>Closed</v>
      </c>
      <c r="S161" t="str">
        <f t="shared" si="20"/>
        <v>Feb</v>
      </c>
    </row>
    <row r="162" spans="1:19" x14ac:dyDescent="0.25">
      <c r="A162" t="s">
        <v>236</v>
      </c>
      <c r="B162" s="1">
        <v>45939</v>
      </c>
      <c r="C162" s="1">
        <v>45946</v>
      </c>
      <c r="D162" t="s">
        <v>13</v>
      </c>
      <c r="E162" t="s">
        <v>14</v>
      </c>
      <c r="F162" t="s">
        <v>41</v>
      </c>
      <c r="G162" t="s">
        <v>55</v>
      </c>
      <c r="H162" t="s">
        <v>46</v>
      </c>
      <c r="I162" t="s">
        <v>38</v>
      </c>
      <c r="J162" t="s">
        <v>18</v>
      </c>
      <c r="K162" t="s">
        <v>19</v>
      </c>
      <c r="L162" t="s">
        <v>20</v>
      </c>
      <c r="M162">
        <f t="shared" si="14"/>
        <v>7</v>
      </c>
      <c r="N162">
        <f t="shared" si="15"/>
        <v>7</v>
      </c>
      <c r="O162" t="str">
        <f t="shared" si="16"/>
        <v>Met</v>
      </c>
      <c r="P162" t="str">
        <f t="shared" si="17"/>
        <v>Oct</v>
      </c>
      <c r="Q162">
        <f t="shared" si="18"/>
        <v>2025</v>
      </c>
      <c r="R162" t="str">
        <f t="shared" si="19"/>
        <v>Closed</v>
      </c>
      <c r="S162" t="str">
        <f t="shared" si="20"/>
        <v>Oct</v>
      </c>
    </row>
    <row r="163" spans="1:19" x14ac:dyDescent="0.25">
      <c r="A163" t="s">
        <v>238</v>
      </c>
      <c r="B163" s="1">
        <v>45936</v>
      </c>
      <c r="C163" s="1">
        <v>45941</v>
      </c>
      <c r="D163" t="s">
        <v>13</v>
      </c>
      <c r="E163" t="s">
        <v>29</v>
      </c>
      <c r="F163" t="s">
        <v>41</v>
      </c>
      <c r="G163" t="s">
        <v>55</v>
      </c>
      <c r="H163" t="s">
        <v>92</v>
      </c>
      <c r="I163" t="s">
        <v>47</v>
      </c>
      <c r="J163" t="s">
        <v>34</v>
      </c>
      <c r="K163" t="s">
        <v>19</v>
      </c>
      <c r="L163" t="s">
        <v>39</v>
      </c>
      <c r="M163">
        <f t="shared" si="14"/>
        <v>5</v>
      </c>
      <c r="N163">
        <f t="shared" si="15"/>
        <v>7</v>
      </c>
      <c r="O163" t="str">
        <f t="shared" si="16"/>
        <v>Met</v>
      </c>
      <c r="P163" t="str">
        <f t="shared" si="17"/>
        <v>Oct</v>
      </c>
      <c r="Q163">
        <f t="shared" si="18"/>
        <v>2025</v>
      </c>
      <c r="R163" t="str">
        <f t="shared" si="19"/>
        <v>Closed</v>
      </c>
      <c r="S163" t="str">
        <f t="shared" si="20"/>
        <v>Oct</v>
      </c>
    </row>
    <row r="164" spans="1:19" x14ac:dyDescent="0.25">
      <c r="A164" t="s">
        <v>239</v>
      </c>
      <c r="B164" s="1">
        <v>45925</v>
      </c>
      <c r="C164" s="1">
        <v>45928</v>
      </c>
      <c r="D164" t="s">
        <v>49</v>
      </c>
      <c r="E164" t="s">
        <v>29</v>
      </c>
      <c r="F164" t="s">
        <v>36</v>
      </c>
      <c r="G164" t="s">
        <v>16</v>
      </c>
      <c r="H164" t="s">
        <v>24</v>
      </c>
      <c r="I164" t="s">
        <v>17</v>
      </c>
      <c r="J164" t="s">
        <v>34</v>
      </c>
      <c r="K164" t="s">
        <v>39</v>
      </c>
      <c r="L164" t="s">
        <v>39</v>
      </c>
      <c r="M164">
        <f t="shared" si="14"/>
        <v>3</v>
      </c>
      <c r="N164">
        <f t="shared" si="15"/>
        <v>3</v>
      </c>
      <c r="O164" t="str">
        <f t="shared" si="16"/>
        <v>Met</v>
      </c>
      <c r="P164" t="str">
        <f t="shared" si="17"/>
        <v>Sep</v>
      </c>
      <c r="Q164">
        <f t="shared" si="18"/>
        <v>2025</v>
      </c>
      <c r="R164" t="str">
        <f t="shared" si="19"/>
        <v>Closed</v>
      </c>
      <c r="S164" t="str">
        <f t="shared" si="20"/>
        <v>Sep</v>
      </c>
    </row>
    <row r="165" spans="1:19" x14ac:dyDescent="0.25">
      <c r="A165" t="s">
        <v>240</v>
      </c>
      <c r="B165" s="1">
        <v>46007</v>
      </c>
      <c r="C165" s="1">
        <v>46011</v>
      </c>
      <c r="D165" t="s">
        <v>13</v>
      </c>
      <c r="E165" t="s">
        <v>29</v>
      </c>
      <c r="F165" t="s">
        <v>15</v>
      </c>
      <c r="G165" t="s">
        <v>16</v>
      </c>
      <c r="H165" t="s">
        <v>95</v>
      </c>
      <c r="I165" t="s">
        <v>25</v>
      </c>
      <c r="J165" t="s">
        <v>18</v>
      </c>
      <c r="K165" t="s">
        <v>39</v>
      </c>
      <c r="L165" t="s">
        <v>39</v>
      </c>
      <c r="M165">
        <f t="shared" si="14"/>
        <v>4</v>
      </c>
      <c r="N165">
        <f t="shared" si="15"/>
        <v>7</v>
      </c>
      <c r="O165" t="str">
        <f t="shared" si="16"/>
        <v>Met</v>
      </c>
      <c r="P165" t="str">
        <f t="shared" si="17"/>
        <v>Dec</v>
      </c>
      <c r="Q165">
        <f t="shared" si="18"/>
        <v>2025</v>
      </c>
      <c r="R165" t="str">
        <f t="shared" si="19"/>
        <v>Closed</v>
      </c>
      <c r="S165" t="str">
        <f t="shared" si="20"/>
        <v>Dec</v>
      </c>
    </row>
    <row r="166" spans="1:19" x14ac:dyDescent="0.25">
      <c r="A166" t="s">
        <v>241</v>
      </c>
      <c r="B166" s="1">
        <v>45956</v>
      </c>
      <c r="C166" s="1">
        <v>45961</v>
      </c>
      <c r="D166" t="s">
        <v>49</v>
      </c>
      <c r="E166" t="s">
        <v>14</v>
      </c>
      <c r="F166" t="s">
        <v>22</v>
      </c>
      <c r="G166" t="s">
        <v>42</v>
      </c>
      <c r="H166" t="s">
        <v>591</v>
      </c>
      <c r="I166" t="s">
        <v>33</v>
      </c>
      <c r="J166" t="s">
        <v>18</v>
      </c>
      <c r="K166" t="s">
        <v>39</v>
      </c>
      <c r="L166" t="s">
        <v>20</v>
      </c>
      <c r="M166">
        <f t="shared" si="14"/>
        <v>5</v>
      </c>
      <c r="N166">
        <f t="shared" si="15"/>
        <v>3</v>
      </c>
      <c r="O166" t="str">
        <f t="shared" si="16"/>
        <v>Breached</v>
      </c>
      <c r="P166" t="str">
        <f t="shared" si="17"/>
        <v>Oct</v>
      </c>
      <c r="Q166">
        <f t="shared" si="18"/>
        <v>2025</v>
      </c>
      <c r="R166" t="str">
        <f t="shared" si="19"/>
        <v>Closed</v>
      </c>
      <c r="S166" t="str">
        <f t="shared" si="20"/>
        <v>Oct</v>
      </c>
    </row>
    <row r="167" spans="1:19" x14ac:dyDescent="0.25">
      <c r="A167" t="s">
        <v>242</v>
      </c>
      <c r="B167" s="1">
        <v>45827</v>
      </c>
      <c r="C167" s="1">
        <v>45828</v>
      </c>
      <c r="D167" t="s">
        <v>45</v>
      </c>
      <c r="E167" t="s">
        <v>14</v>
      </c>
      <c r="F167" t="s">
        <v>50</v>
      </c>
      <c r="G167" t="s">
        <v>31</v>
      </c>
      <c r="H167" t="s">
        <v>24</v>
      </c>
      <c r="I167" t="s">
        <v>69</v>
      </c>
      <c r="J167" t="s">
        <v>18</v>
      </c>
      <c r="K167" t="s">
        <v>19</v>
      </c>
      <c r="L167" t="s">
        <v>19</v>
      </c>
      <c r="M167">
        <f t="shared" si="14"/>
        <v>1</v>
      </c>
      <c r="N167">
        <f t="shared" si="15"/>
        <v>5</v>
      </c>
      <c r="O167" t="str">
        <f t="shared" si="16"/>
        <v>Met</v>
      </c>
      <c r="P167" t="str">
        <f t="shared" si="17"/>
        <v>Jun</v>
      </c>
      <c r="Q167">
        <f t="shared" si="18"/>
        <v>2025</v>
      </c>
      <c r="R167" t="str">
        <f t="shared" si="19"/>
        <v>Closed</v>
      </c>
      <c r="S167" t="str">
        <f t="shared" si="20"/>
        <v>Jun</v>
      </c>
    </row>
    <row r="168" spans="1:19" x14ac:dyDescent="0.25">
      <c r="A168" t="s">
        <v>243</v>
      </c>
      <c r="B168" s="1">
        <v>45884</v>
      </c>
      <c r="D168" t="s">
        <v>28</v>
      </c>
      <c r="E168" t="s">
        <v>58</v>
      </c>
      <c r="F168" t="s">
        <v>22</v>
      </c>
      <c r="G168" t="s">
        <v>16</v>
      </c>
      <c r="H168" t="s">
        <v>128</v>
      </c>
      <c r="I168" t="s">
        <v>17</v>
      </c>
      <c r="J168" t="s">
        <v>34</v>
      </c>
      <c r="K168" t="s">
        <v>39</v>
      </c>
      <c r="L168" t="s">
        <v>39</v>
      </c>
      <c r="M168" t="str">
        <f t="shared" si="14"/>
        <v/>
      </c>
      <c r="N168">
        <f t="shared" si="15"/>
        <v>1</v>
      </c>
      <c r="O168" t="str">
        <f t="shared" si="16"/>
        <v>Open</v>
      </c>
      <c r="P168" t="str">
        <f t="shared" si="17"/>
        <v>Aug</v>
      </c>
      <c r="Q168">
        <f t="shared" si="18"/>
        <v>2025</v>
      </c>
      <c r="R168" t="str">
        <f t="shared" si="19"/>
        <v>Open</v>
      </c>
      <c r="S168" t="str">
        <f t="shared" si="20"/>
        <v>Open</v>
      </c>
    </row>
    <row r="169" spans="1:19" x14ac:dyDescent="0.25">
      <c r="A169" t="s">
        <v>244</v>
      </c>
      <c r="B169" s="1">
        <v>45891</v>
      </c>
      <c r="D169" t="s">
        <v>49</v>
      </c>
      <c r="E169" t="s">
        <v>76</v>
      </c>
      <c r="F169" t="s">
        <v>22</v>
      </c>
      <c r="G169" t="s">
        <v>55</v>
      </c>
      <c r="H169" t="s">
        <v>151</v>
      </c>
      <c r="I169" t="s">
        <v>47</v>
      </c>
      <c r="J169" t="s">
        <v>18</v>
      </c>
      <c r="K169" t="s">
        <v>19</v>
      </c>
      <c r="L169" t="s">
        <v>19</v>
      </c>
      <c r="M169" t="str">
        <f t="shared" si="14"/>
        <v/>
      </c>
      <c r="N169">
        <f t="shared" si="15"/>
        <v>3</v>
      </c>
      <c r="O169" t="str">
        <f t="shared" si="16"/>
        <v>Open</v>
      </c>
      <c r="P169" t="str">
        <f t="shared" si="17"/>
        <v>Aug</v>
      </c>
      <c r="Q169">
        <f t="shared" si="18"/>
        <v>2025</v>
      </c>
      <c r="R169" t="str">
        <f t="shared" si="19"/>
        <v>Open</v>
      </c>
      <c r="S169" t="str">
        <f t="shared" si="20"/>
        <v>Open</v>
      </c>
    </row>
    <row r="170" spans="1:19" x14ac:dyDescent="0.25">
      <c r="A170" t="s">
        <v>245</v>
      </c>
      <c r="B170" s="1">
        <v>45741</v>
      </c>
      <c r="C170" s="1">
        <v>45743</v>
      </c>
      <c r="D170" t="s">
        <v>28</v>
      </c>
      <c r="E170" t="s">
        <v>14</v>
      </c>
      <c r="F170" t="s">
        <v>66</v>
      </c>
      <c r="G170" t="s">
        <v>31</v>
      </c>
      <c r="H170" t="s">
        <v>62</v>
      </c>
      <c r="I170" t="s">
        <v>47</v>
      </c>
      <c r="J170" t="s">
        <v>60</v>
      </c>
      <c r="K170" t="s">
        <v>20</v>
      </c>
      <c r="L170" t="s">
        <v>39</v>
      </c>
      <c r="M170">
        <f t="shared" si="14"/>
        <v>2</v>
      </c>
      <c r="N170">
        <f t="shared" si="15"/>
        <v>1</v>
      </c>
      <c r="O170" t="str">
        <f t="shared" si="16"/>
        <v>Breached</v>
      </c>
      <c r="P170" t="str">
        <f t="shared" si="17"/>
        <v>Mar</v>
      </c>
      <c r="Q170">
        <f t="shared" si="18"/>
        <v>2025</v>
      </c>
      <c r="R170" t="str">
        <f t="shared" si="19"/>
        <v>Closed</v>
      </c>
      <c r="S170" t="str">
        <f t="shared" si="20"/>
        <v>Mar</v>
      </c>
    </row>
    <row r="171" spans="1:19" x14ac:dyDescent="0.25">
      <c r="A171" t="s">
        <v>246</v>
      </c>
      <c r="B171" s="1">
        <v>45965</v>
      </c>
      <c r="C171" s="1">
        <v>45972</v>
      </c>
      <c r="D171" t="s">
        <v>13</v>
      </c>
      <c r="E171" t="s">
        <v>14</v>
      </c>
      <c r="F171" t="s">
        <v>50</v>
      </c>
      <c r="G171" t="s">
        <v>42</v>
      </c>
      <c r="H171" t="s">
        <v>128</v>
      </c>
      <c r="I171" t="s">
        <v>33</v>
      </c>
      <c r="J171" t="s">
        <v>60</v>
      </c>
      <c r="K171" t="s">
        <v>39</v>
      </c>
      <c r="L171" t="s">
        <v>19</v>
      </c>
      <c r="M171">
        <f t="shared" si="14"/>
        <v>7</v>
      </c>
      <c r="N171">
        <f t="shared" si="15"/>
        <v>7</v>
      </c>
      <c r="O171" t="str">
        <f t="shared" si="16"/>
        <v>Met</v>
      </c>
      <c r="P171" t="str">
        <f t="shared" si="17"/>
        <v>Nov</v>
      </c>
      <c r="Q171">
        <f t="shared" si="18"/>
        <v>2025</v>
      </c>
      <c r="R171" t="str">
        <f t="shared" si="19"/>
        <v>Closed</v>
      </c>
      <c r="S171" t="str">
        <f t="shared" si="20"/>
        <v>Nov</v>
      </c>
    </row>
    <row r="172" spans="1:19" x14ac:dyDescent="0.25">
      <c r="A172" t="s">
        <v>247</v>
      </c>
      <c r="B172" s="1">
        <v>45849</v>
      </c>
      <c r="C172" s="1">
        <v>45849</v>
      </c>
      <c r="D172" t="s">
        <v>28</v>
      </c>
      <c r="E172" t="s">
        <v>29</v>
      </c>
      <c r="F172" t="s">
        <v>22</v>
      </c>
      <c r="G172" t="s">
        <v>23</v>
      </c>
      <c r="H172" t="s">
        <v>128</v>
      </c>
      <c r="I172" t="s">
        <v>47</v>
      </c>
      <c r="J172" t="s">
        <v>18</v>
      </c>
      <c r="K172" t="s">
        <v>19</v>
      </c>
      <c r="L172" t="s">
        <v>20</v>
      </c>
      <c r="M172">
        <f t="shared" si="14"/>
        <v>0</v>
      </c>
      <c r="N172">
        <f t="shared" si="15"/>
        <v>1</v>
      </c>
      <c r="O172" t="str">
        <f t="shared" si="16"/>
        <v>Met</v>
      </c>
      <c r="P172" t="str">
        <f t="shared" si="17"/>
        <v>Jul</v>
      </c>
      <c r="Q172">
        <f t="shared" si="18"/>
        <v>2025</v>
      </c>
      <c r="R172" t="str">
        <f t="shared" si="19"/>
        <v>Closed</v>
      </c>
      <c r="S172" t="str">
        <f t="shared" si="20"/>
        <v>Jul</v>
      </c>
    </row>
    <row r="173" spans="1:19" x14ac:dyDescent="0.25">
      <c r="A173" t="s">
        <v>248</v>
      </c>
      <c r="B173" s="1">
        <v>45671</v>
      </c>
      <c r="C173" s="1">
        <v>45676</v>
      </c>
      <c r="D173" t="s">
        <v>49</v>
      </c>
      <c r="E173" t="s">
        <v>14</v>
      </c>
      <c r="F173" t="s">
        <v>30</v>
      </c>
      <c r="G173" t="s">
        <v>42</v>
      </c>
      <c r="H173" t="s">
        <v>92</v>
      </c>
      <c r="I173" t="s">
        <v>47</v>
      </c>
      <c r="J173" t="s">
        <v>34</v>
      </c>
      <c r="K173" t="s">
        <v>20</v>
      </c>
      <c r="L173" t="s">
        <v>39</v>
      </c>
      <c r="M173">
        <f t="shared" si="14"/>
        <v>5</v>
      </c>
      <c r="N173">
        <f t="shared" si="15"/>
        <v>3</v>
      </c>
      <c r="O173" t="str">
        <f t="shared" si="16"/>
        <v>Breached</v>
      </c>
      <c r="P173" t="str">
        <f t="shared" si="17"/>
        <v>Jan</v>
      </c>
      <c r="Q173">
        <f t="shared" si="18"/>
        <v>2025</v>
      </c>
      <c r="R173" t="str">
        <f t="shared" si="19"/>
        <v>Closed</v>
      </c>
      <c r="S173" t="str">
        <f t="shared" si="20"/>
        <v>Jan</v>
      </c>
    </row>
    <row r="174" spans="1:19" x14ac:dyDescent="0.25">
      <c r="A174" t="s">
        <v>249</v>
      </c>
      <c r="B174" s="1">
        <v>45790</v>
      </c>
      <c r="C174" s="1">
        <v>45792</v>
      </c>
      <c r="D174" t="s">
        <v>13</v>
      </c>
      <c r="E174" t="s">
        <v>14</v>
      </c>
      <c r="F174" t="s">
        <v>30</v>
      </c>
      <c r="G174" t="s">
        <v>23</v>
      </c>
      <c r="H174" t="s">
        <v>24</v>
      </c>
      <c r="I174" t="s">
        <v>25</v>
      </c>
      <c r="J174" t="s">
        <v>60</v>
      </c>
      <c r="K174" t="s">
        <v>20</v>
      </c>
      <c r="L174" t="s">
        <v>39</v>
      </c>
      <c r="M174">
        <f t="shared" si="14"/>
        <v>2</v>
      </c>
      <c r="N174">
        <f t="shared" si="15"/>
        <v>7</v>
      </c>
      <c r="O174" t="str">
        <f t="shared" si="16"/>
        <v>Met</v>
      </c>
      <c r="P174" t="str">
        <f t="shared" si="17"/>
        <v>May</v>
      </c>
      <c r="Q174">
        <f t="shared" si="18"/>
        <v>2025</v>
      </c>
      <c r="R174" t="str">
        <f t="shared" si="19"/>
        <v>Closed</v>
      </c>
      <c r="S174" t="str">
        <f t="shared" si="20"/>
        <v>May</v>
      </c>
    </row>
    <row r="175" spans="1:19" x14ac:dyDescent="0.25">
      <c r="A175" t="s">
        <v>250</v>
      </c>
      <c r="B175" s="1">
        <v>46006</v>
      </c>
      <c r="C175" s="1">
        <v>46010</v>
      </c>
      <c r="D175" t="s">
        <v>13</v>
      </c>
      <c r="E175" t="s">
        <v>29</v>
      </c>
      <c r="F175" t="s">
        <v>22</v>
      </c>
      <c r="G175" t="s">
        <v>23</v>
      </c>
      <c r="H175" t="s">
        <v>79</v>
      </c>
      <c r="I175" t="s">
        <v>69</v>
      </c>
      <c r="J175" t="s">
        <v>34</v>
      </c>
      <c r="K175" t="s">
        <v>20</v>
      </c>
      <c r="L175" t="s">
        <v>19</v>
      </c>
      <c r="M175">
        <f t="shared" si="14"/>
        <v>4</v>
      </c>
      <c r="N175">
        <f t="shared" si="15"/>
        <v>7</v>
      </c>
      <c r="O175" t="str">
        <f t="shared" si="16"/>
        <v>Met</v>
      </c>
      <c r="P175" t="str">
        <f t="shared" si="17"/>
        <v>Dec</v>
      </c>
      <c r="Q175">
        <f t="shared" si="18"/>
        <v>2025</v>
      </c>
      <c r="R175" t="str">
        <f t="shared" si="19"/>
        <v>Closed</v>
      </c>
      <c r="S175" t="str">
        <f t="shared" si="20"/>
        <v>Dec</v>
      </c>
    </row>
    <row r="176" spans="1:19" x14ac:dyDescent="0.25">
      <c r="A176" t="s">
        <v>251</v>
      </c>
      <c r="B176" s="1">
        <v>45889</v>
      </c>
      <c r="C176" s="1">
        <v>45893</v>
      </c>
      <c r="D176" t="s">
        <v>45</v>
      </c>
      <c r="E176" t="s">
        <v>29</v>
      </c>
      <c r="F176" t="s">
        <v>66</v>
      </c>
      <c r="G176" t="s">
        <v>42</v>
      </c>
      <c r="H176" t="s">
        <v>591</v>
      </c>
      <c r="I176" t="s">
        <v>25</v>
      </c>
      <c r="J176" t="s">
        <v>26</v>
      </c>
      <c r="K176" t="s">
        <v>19</v>
      </c>
      <c r="L176" t="s">
        <v>39</v>
      </c>
      <c r="M176">
        <f t="shared" si="14"/>
        <v>4</v>
      </c>
      <c r="N176">
        <f t="shared" si="15"/>
        <v>5</v>
      </c>
      <c r="O176" t="str">
        <f t="shared" si="16"/>
        <v>Met</v>
      </c>
      <c r="P176" t="str">
        <f t="shared" si="17"/>
        <v>Aug</v>
      </c>
      <c r="Q176">
        <f t="shared" si="18"/>
        <v>2025</v>
      </c>
      <c r="R176" t="str">
        <f t="shared" si="19"/>
        <v>Closed</v>
      </c>
      <c r="S176" t="str">
        <f t="shared" si="20"/>
        <v>Aug</v>
      </c>
    </row>
    <row r="177" spans="1:19" x14ac:dyDescent="0.25">
      <c r="A177" t="s">
        <v>251</v>
      </c>
      <c r="B177" s="1">
        <v>45703</v>
      </c>
      <c r="C177" s="1">
        <v>45704</v>
      </c>
      <c r="D177" t="s">
        <v>28</v>
      </c>
      <c r="E177" t="s">
        <v>14</v>
      </c>
      <c r="F177" t="s">
        <v>15</v>
      </c>
      <c r="G177" t="s">
        <v>23</v>
      </c>
      <c r="H177" t="s">
        <v>46</v>
      </c>
      <c r="I177" t="s">
        <v>47</v>
      </c>
      <c r="J177" t="s">
        <v>26</v>
      </c>
      <c r="K177" t="s">
        <v>20</v>
      </c>
      <c r="L177" t="s">
        <v>19</v>
      </c>
      <c r="M177">
        <f t="shared" si="14"/>
        <v>1</v>
      </c>
      <c r="N177">
        <f t="shared" si="15"/>
        <v>1</v>
      </c>
      <c r="O177" t="str">
        <f t="shared" si="16"/>
        <v>Met</v>
      </c>
      <c r="P177" t="str">
        <f t="shared" si="17"/>
        <v>Feb</v>
      </c>
      <c r="Q177">
        <f t="shared" si="18"/>
        <v>2025</v>
      </c>
      <c r="R177" t="str">
        <f t="shared" si="19"/>
        <v>Closed</v>
      </c>
      <c r="S177" t="str">
        <f t="shared" si="20"/>
        <v>Feb</v>
      </c>
    </row>
    <row r="178" spans="1:19" x14ac:dyDescent="0.25">
      <c r="A178" t="s">
        <v>252</v>
      </c>
      <c r="B178" s="1">
        <v>45864</v>
      </c>
      <c r="D178" t="s">
        <v>28</v>
      </c>
      <c r="E178" t="s">
        <v>76</v>
      </c>
      <c r="F178" t="s">
        <v>30</v>
      </c>
      <c r="G178" t="s">
        <v>55</v>
      </c>
      <c r="H178" t="s">
        <v>62</v>
      </c>
      <c r="I178" t="s">
        <v>33</v>
      </c>
      <c r="J178" t="s">
        <v>60</v>
      </c>
      <c r="K178" t="s">
        <v>19</v>
      </c>
      <c r="L178" t="s">
        <v>39</v>
      </c>
      <c r="M178" t="str">
        <f t="shared" si="14"/>
        <v/>
      </c>
      <c r="N178">
        <f t="shared" si="15"/>
        <v>1</v>
      </c>
      <c r="O178" t="str">
        <f t="shared" si="16"/>
        <v>Open</v>
      </c>
      <c r="P178" t="str">
        <f t="shared" si="17"/>
        <v>Jul</v>
      </c>
      <c r="Q178">
        <f t="shared" si="18"/>
        <v>2025</v>
      </c>
      <c r="R178" t="str">
        <f t="shared" si="19"/>
        <v>Open</v>
      </c>
      <c r="S178" t="str">
        <f t="shared" si="20"/>
        <v>Open</v>
      </c>
    </row>
    <row r="179" spans="1:19" x14ac:dyDescent="0.25">
      <c r="A179" t="s">
        <v>253</v>
      </c>
      <c r="B179" s="1">
        <v>45668</v>
      </c>
      <c r="D179" t="s">
        <v>45</v>
      </c>
      <c r="E179" t="s">
        <v>76</v>
      </c>
      <c r="F179" t="s">
        <v>15</v>
      </c>
      <c r="G179" t="s">
        <v>55</v>
      </c>
      <c r="H179" t="s">
        <v>46</v>
      </c>
      <c r="I179" t="s">
        <v>33</v>
      </c>
      <c r="J179" t="s">
        <v>34</v>
      </c>
      <c r="K179" t="s">
        <v>20</v>
      </c>
      <c r="L179" t="s">
        <v>39</v>
      </c>
      <c r="M179" t="str">
        <f t="shared" si="14"/>
        <v/>
      </c>
      <c r="N179">
        <f t="shared" si="15"/>
        <v>5</v>
      </c>
      <c r="O179" t="str">
        <f t="shared" si="16"/>
        <v>Open</v>
      </c>
      <c r="P179" t="str">
        <f t="shared" si="17"/>
        <v>Jan</v>
      </c>
      <c r="Q179">
        <f t="shared" si="18"/>
        <v>2025</v>
      </c>
      <c r="R179" t="str">
        <f t="shared" si="19"/>
        <v>Open</v>
      </c>
      <c r="S179" t="str">
        <f t="shared" si="20"/>
        <v>Open</v>
      </c>
    </row>
    <row r="180" spans="1:19" x14ac:dyDescent="0.25">
      <c r="A180" t="s">
        <v>254</v>
      </c>
      <c r="B180" s="1">
        <v>45974</v>
      </c>
      <c r="D180" t="s">
        <v>13</v>
      </c>
      <c r="E180" t="s">
        <v>76</v>
      </c>
      <c r="F180" t="s">
        <v>30</v>
      </c>
      <c r="G180" t="s">
        <v>23</v>
      </c>
      <c r="H180" t="s">
        <v>106</v>
      </c>
      <c r="I180" t="s">
        <v>17</v>
      </c>
      <c r="J180" t="s">
        <v>18</v>
      </c>
      <c r="K180" t="s">
        <v>20</v>
      </c>
      <c r="L180" t="s">
        <v>39</v>
      </c>
      <c r="M180" t="str">
        <f t="shared" si="14"/>
        <v/>
      </c>
      <c r="N180">
        <f t="shared" si="15"/>
        <v>7</v>
      </c>
      <c r="O180" t="str">
        <f t="shared" si="16"/>
        <v>Open</v>
      </c>
      <c r="P180" t="str">
        <f t="shared" si="17"/>
        <v>Nov</v>
      </c>
      <c r="Q180">
        <f t="shared" si="18"/>
        <v>2025</v>
      </c>
      <c r="R180" t="str">
        <f t="shared" si="19"/>
        <v>Open</v>
      </c>
      <c r="S180" t="str">
        <f t="shared" si="20"/>
        <v>Open</v>
      </c>
    </row>
    <row r="181" spans="1:19" x14ac:dyDescent="0.25">
      <c r="A181" t="s">
        <v>255</v>
      </c>
      <c r="B181" s="1">
        <v>45717</v>
      </c>
      <c r="D181" t="s">
        <v>45</v>
      </c>
      <c r="E181" t="s">
        <v>76</v>
      </c>
      <c r="F181" t="s">
        <v>66</v>
      </c>
      <c r="G181" t="s">
        <v>16</v>
      </c>
      <c r="H181" t="s">
        <v>56</v>
      </c>
      <c r="I181" t="s">
        <v>17</v>
      </c>
      <c r="J181" t="s">
        <v>60</v>
      </c>
      <c r="K181" t="s">
        <v>20</v>
      </c>
      <c r="L181" t="s">
        <v>20</v>
      </c>
      <c r="M181" t="str">
        <f t="shared" si="14"/>
        <v/>
      </c>
      <c r="N181">
        <f t="shared" si="15"/>
        <v>5</v>
      </c>
      <c r="O181" t="str">
        <f t="shared" si="16"/>
        <v>Open</v>
      </c>
      <c r="P181" t="str">
        <f t="shared" si="17"/>
        <v>Mar</v>
      </c>
      <c r="Q181">
        <f t="shared" si="18"/>
        <v>2025</v>
      </c>
      <c r="R181" t="str">
        <f t="shared" si="19"/>
        <v>Open</v>
      </c>
      <c r="S181" t="str">
        <f t="shared" si="20"/>
        <v>Open</v>
      </c>
    </row>
    <row r="182" spans="1:19" x14ac:dyDescent="0.25">
      <c r="A182" t="s">
        <v>256</v>
      </c>
      <c r="B182" s="1">
        <v>45797</v>
      </c>
      <c r="C182" s="1">
        <v>45804</v>
      </c>
      <c r="D182" t="s">
        <v>13</v>
      </c>
      <c r="E182" t="s">
        <v>14</v>
      </c>
      <c r="F182" t="s">
        <v>36</v>
      </c>
      <c r="G182" t="s">
        <v>42</v>
      </c>
      <c r="H182" t="s">
        <v>24</v>
      </c>
      <c r="I182" t="s">
        <v>47</v>
      </c>
      <c r="J182" t="s">
        <v>26</v>
      </c>
      <c r="K182" t="s">
        <v>19</v>
      </c>
      <c r="L182" t="s">
        <v>39</v>
      </c>
      <c r="M182">
        <f t="shared" si="14"/>
        <v>7</v>
      </c>
      <c r="N182">
        <f t="shared" si="15"/>
        <v>7</v>
      </c>
      <c r="O182" t="str">
        <f t="shared" si="16"/>
        <v>Met</v>
      </c>
      <c r="P182" t="str">
        <f t="shared" si="17"/>
        <v>May</v>
      </c>
      <c r="Q182">
        <f t="shared" si="18"/>
        <v>2025</v>
      </c>
      <c r="R182" t="str">
        <f t="shared" si="19"/>
        <v>Closed</v>
      </c>
      <c r="S182" t="str">
        <f t="shared" si="20"/>
        <v>May</v>
      </c>
    </row>
    <row r="183" spans="1:19" x14ac:dyDescent="0.25">
      <c r="A183" t="s">
        <v>257</v>
      </c>
      <c r="B183" s="1">
        <v>45724</v>
      </c>
      <c r="C183" s="1">
        <v>45728</v>
      </c>
      <c r="D183" t="s">
        <v>28</v>
      </c>
      <c r="E183" t="s">
        <v>29</v>
      </c>
      <c r="F183" t="s">
        <v>15</v>
      </c>
      <c r="G183" t="s">
        <v>16</v>
      </c>
      <c r="H183" t="s">
        <v>37</v>
      </c>
      <c r="I183" t="s">
        <v>38</v>
      </c>
      <c r="J183" t="s">
        <v>34</v>
      </c>
      <c r="K183" t="s">
        <v>20</v>
      </c>
      <c r="L183" t="s">
        <v>20</v>
      </c>
      <c r="M183">
        <f t="shared" si="14"/>
        <v>4</v>
      </c>
      <c r="N183">
        <f t="shared" si="15"/>
        <v>1</v>
      </c>
      <c r="O183" t="str">
        <f t="shared" si="16"/>
        <v>Breached</v>
      </c>
      <c r="P183" t="str">
        <f t="shared" si="17"/>
        <v>Mar</v>
      </c>
      <c r="Q183">
        <f t="shared" si="18"/>
        <v>2025</v>
      </c>
      <c r="R183" t="str">
        <f t="shared" si="19"/>
        <v>Closed</v>
      </c>
      <c r="S183" t="str">
        <f t="shared" si="20"/>
        <v>Mar</v>
      </c>
    </row>
    <row r="184" spans="1:19" x14ac:dyDescent="0.25">
      <c r="A184" t="s">
        <v>258</v>
      </c>
      <c r="B184" s="1">
        <v>45986</v>
      </c>
      <c r="C184" s="1">
        <v>45989</v>
      </c>
      <c r="D184" t="s">
        <v>13</v>
      </c>
      <c r="E184" t="s">
        <v>29</v>
      </c>
      <c r="F184" t="s">
        <v>41</v>
      </c>
      <c r="G184" t="s">
        <v>23</v>
      </c>
      <c r="H184" t="s">
        <v>59</v>
      </c>
      <c r="I184" t="s">
        <v>38</v>
      </c>
      <c r="J184" t="s">
        <v>34</v>
      </c>
      <c r="K184" t="s">
        <v>39</v>
      </c>
      <c r="L184" t="s">
        <v>20</v>
      </c>
      <c r="M184">
        <f t="shared" si="14"/>
        <v>3</v>
      </c>
      <c r="N184">
        <f t="shared" si="15"/>
        <v>7</v>
      </c>
      <c r="O184" t="str">
        <f t="shared" si="16"/>
        <v>Met</v>
      </c>
      <c r="P184" t="str">
        <f t="shared" si="17"/>
        <v>Nov</v>
      </c>
      <c r="Q184">
        <f t="shared" si="18"/>
        <v>2025</v>
      </c>
      <c r="R184" t="str">
        <f t="shared" si="19"/>
        <v>Closed</v>
      </c>
      <c r="S184" t="str">
        <f t="shared" si="20"/>
        <v>Nov</v>
      </c>
    </row>
    <row r="185" spans="1:19" x14ac:dyDescent="0.25">
      <c r="A185" t="s">
        <v>259</v>
      </c>
      <c r="B185" s="1">
        <v>45951</v>
      </c>
      <c r="C185" s="1">
        <v>45954</v>
      </c>
      <c r="D185" t="s">
        <v>49</v>
      </c>
      <c r="E185" t="s">
        <v>29</v>
      </c>
      <c r="F185" t="s">
        <v>15</v>
      </c>
      <c r="G185" t="s">
        <v>16</v>
      </c>
      <c r="H185" t="s">
        <v>106</v>
      </c>
      <c r="I185" t="s">
        <v>52</v>
      </c>
      <c r="J185" t="s">
        <v>18</v>
      </c>
      <c r="K185" t="s">
        <v>20</v>
      </c>
      <c r="L185" t="s">
        <v>20</v>
      </c>
      <c r="M185">
        <f t="shared" si="14"/>
        <v>3</v>
      </c>
      <c r="N185">
        <f t="shared" si="15"/>
        <v>3</v>
      </c>
      <c r="O185" t="str">
        <f t="shared" si="16"/>
        <v>Met</v>
      </c>
      <c r="P185" t="str">
        <f t="shared" si="17"/>
        <v>Oct</v>
      </c>
      <c r="Q185">
        <f t="shared" si="18"/>
        <v>2025</v>
      </c>
      <c r="R185" t="str">
        <f t="shared" si="19"/>
        <v>Closed</v>
      </c>
      <c r="S185" t="str">
        <f t="shared" si="20"/>
        <v>Oct</v>
      </c>
    </row>
    <row r="186" spans="1:19" x14ac:dyDescent="0.25">
      <c r="A186" t="s">
        <v>260</v>
      </c>
      <c r="B186" s="1">
        <v>45772</v>
      </c>
      <c r="C186" s="1">
        <v>45773</v>
      </c>
      <c r="D186" t="s">
        <v>28</v>
      </c>
      <c r="E186" t="s">
        <v>14</v>
      </c>
      <c r="F186" t="s">
        <v>41</v>
      </c>
      <c r="G186" t="s">
        <v>23</v>
      </c>
      <c r="H186" t="s">
        <v>92</v>
      </c>
      <c r="I186" t="s">
        <v>17</v>
      </c>
      <c r="J186" t="s">
        <v>18</v>
      </c>
      <c r="K186" t="s">
        <v>39</v>
      </c>
      <c r="L186" t="s">
        <v>19</v>
      </c>
      <c r="M186">
        <f t="shared" si="14"/>
        <v>1</v>
      </c>
      <c r="N186">
        <f t="shared" si="15"/>
        <v>1</v>
      </c>
      <c r="O186" t="str">
        <f t="shared" si="16"/>
        <v>Met</v>
      </c>
      <c r="P186" t="str">
        <f t="shared" si="17"/>
        <v>Apr</v>
      </c>
      <c r="Q186">
        <f t="shared" si="18"/>
        <v>2025</v>
      </c>
      <c r="R186" t="str">
        <f t="shared" si="19"/>
        <v>Closed</v>
      </c>
      <c r="S186" t="str">
        <f t="shared" si="20"/>
        <v>Apr</v>
      </c>
    </row>
    <row r="187" spans="1:19" x14ac:dyDescent="0.25">
      <c r="A187" t="s">
        <v>261</v>
      </c>
      <c r="B187" s="1">
        <v>45867</v>
      </c>
      <c r="D187" t="s">
        <v>13</v>
      </c>
      <c r="E187" t="s">
        <v>76</v>
      </c>
      <c r="F187" t="s">
        <v>592</v>
      </c>
      <c r="G187" t="s">
        <v>42</v>
      </c>
      <c r="H187" t="s">
        <v>134</v>
      </c>
      <c r="I187" t="s">
        <v>38</v>
      </c>
      <c r="J187" t="s">
        <v>34</v>
      </c>
      <c r="K187" t="s">
        <v>20</v>
      </c>
      <c r="L187" t="s">
        <v>39</v>
      </c>
      <c r="M187" t="str">
        <f t="shared" si="14"/>
        <v/>
      </c>
      <c r="N187">
        <f t="shared" si="15"/>
        <v>7</v>
      </c>
      <c r="O187" t="str">
        <f t="shared" si="16"/>
        <v>Open</v>
      </c>
      <c r="P187" t="str">
        <f t="shared" si="17"/>
        <v>Jul</v>
      </c>
      <c r="Q187">
        <f t="shared" si="18"/>
        <v>2025</v>
      </c>
      <c r="R187" t="str">
        <f t="shared" si="19"/>
        <v>Open</v>
      </c>
      <c r="S187" t="str">
        <f t="shared" si="20"/>
        <v>Open</v>
      </c>
    </row>
    <row r="188" spans="1:19" x14ac:dyDescent="0.25">
      <c r="A188" t="s">
        <v>262</v>
      </c>
      <c r="B188" s="1">
        <v>45682</v>
      </c>
      <c r="C188" s="1">
        <v>45684</v>
      </c>
      <c r="D188" t="s">
        <v>13</v>
      </c>
      <c r="E188" t="s">
        <v>29</v>
      </c>
      <c r="F188" t="s">
        <v>66</v>
      </c>
      <c r="G188" t="s">
        <v>16</v>
      </c>
      <c r="H188" t="s">
        <v>37</v>
      </c>
      <c r="I188" t="s">
        <v>38</v>
      </c>
      <c r="J188" t="s">
        <v>34</v>
      </c>
      <c r="K188" t="s">
        <v>20</v>
      </c>
      <c r="L188" t="s">
        <v>20</v>
      </c>
      <c r="M188">
        <f t="shared" si="14"/>
        <v>2</v>
      </c>
      <c r="N188">
        <f t="shared" si="15"/>
        <v>7</v>
      </c>
      <c r="O188" t="str">
        <f t="shared" si="16"/>
        <v>Met</v>
      </c>
      <c r="P188" t="str">
        <f t="shared" si="17"/>
        <v>Jan</v>
      </c>
      <c r="Q188">
        <f t="shared" si="18"/>
        <v>2025</v>
      </c>
      <c r="R188" t="str">
        <f t="shared" si="19"/>
        <v>Closed</v>
      </c>
      <c r="S188" t="str">
        <f t="shared" si="20"/>
        <v>Jan</v>
      </c>
    </row>
    <row r="189" spans="1:19" x14ac:dyDescent="0.25">
      <c r="A189" t="s">
        <v>263</v>
      </c>
      <c r="B189" s="1">
        <v>45808</v>
      </c>
      <c r="C189" s="1">
        <v>45809</v>
      </c>
      <c r="D189" t="s">
        <v>49</v>
      </c>
      <c r="E189" t="s">
        <v>29</v>
      </c>
      <c r="F189" t="s">
        <v>22</v>
      </c>
      <c r="G189" t="s">
        <v>16</v>
      </c>
      <c r="H189" t="s">
        <v>92</v>
      </c>
      <c r="I189" t="s">
        <v>52</v>
      </c>
      <c r="J189" t="s">
        <v>34</v>
      </c>
      <c r="K189" t="s">
        <v>19</v>
      </c>
      <c r="L189" t="s">
        <v>19</v>
      </c>
      <c r="M189">
        <f t="shared" si="14"/>
        <v>1</v>
      </c>
      <c r="N189">
        <f t="shared" si="15"/>
        <v>3</v>
      </c>
      <c r="O189" t="str">
        <f t="shared" si="16"/>
        <v>Met</v>
      </c>
      <c r="P189" t="str">
        <f t="shared" si="17"/>
        <v>May</v>
      </c>
      <c r="Q189">
        <f t="shared" si="18"/>
        <v>2025</v>
      </c>
      <c r="R189" t="str">
        <f t="shared" si="19"/>
        <v>Closed</v>
      </c>
      <c r="S189" t="str">
        <f t="shared" si="20"/>
        <v>Jun</v>
      </c>
    </row>
    <row r="190" spans="1:19" x14ac:dyDescent="0.25">
      <c r="A190" t="s">
        <v>264</v>
      </c>
      <c r="B190" s="1">
        <v>45823</v>
      </c>
      <c r="C190" s="1">
        <v>45823</v>
      </c>
      <c r="D190" t="s">
        <v>49</v>
      </c>
      <c r="E190" t="s">
        <v>14</v>
      </c>
      <c r="F190" t="s">
        <v>50</v>
      </c>
      <c r="G190" t="s">
        <v>42</v>
      </c>
      <c r="H190" t="s">
        <v>73</v>
      </c>
      <c r="I190" t="s">
        <v>69</v>
      </c>
      <c r="J190" t="s">
        <v>26</v>
      </c>
      <c r="K190" t="s">
        <v>39</v>
      </c>
      <c r="L190" t="s">
        <v>39</v>
      </c>
      <c r="M190">
        <f t="shared" si="14"/>
        <v>0</v>
      </c>
      <c r="N190">
        <f t="shared" si="15"/>
        <v>3</v>
      </c>
      <c r="O190" t="str">
        <f t="shared" si="16"/>
        <v>Met</v>
      </c>
      <c r="P190" t="str">
        <f t="shared" si="17"/>
        <v>Jun</v>
      </c>
      <c r="Q190">
        <f t="shared" si="18"/>
        <v>2025</v>
      </c>
      <c r="R190" t="str">
        <f t="shared" si="19"/>
        <v>Closed</v>
      </c>
      <c r="S190" t="str">
        <f t="shared" si="20"/>
        <v>Jun</v>
      </c>
    </row>
    <row r="191" spans="1:19" x14ac:dyDescent="0.25">
      <c r="A191" t="s">
        <v>266</v>
      </c>
      <c r="B191" s="1">
        <v>45809</v>
      </c>
      <c r="D191" t="s">
        <v>45</v>
      </c>
      <c r="E191" t="s">
        <v>58</v>
      </c>
      <c r="F191" t="s">
        <v>41</v>
      </c>
      <c r="G191" t="s">
        <v>16</v>
      </c>
      <c r="H191" t="s">
        <v>128</v>
      </c>
      <c r="I191" t="s">
        <v>52</v>
      </c>
      <c r="J191" t="s">
        <v>60</v>
      </c>
      <c r="K191" t="s">
        <v>20</v>
      </c>
      <c r="L191" t="s">
        <v>20</v>
      </c>
      <c r="M191" t="str">
        <f t="shared" si="14"/>
        <v/>
      </c>
      <c r="N191">
        <f t="shared" si="15"/>
        <v>5</v>
      </c>
      <c r="O191" t="str">
        <f t="shared" si="16"/>
        <v>Open</v>
      </c>
      <c r="P191" t="str">
        <f t="shared" si="17"/>
        <v>Jun</v>
      </c>
      <c r="Q191">
        <f t="shared" si="18"/>
        <v>2025</v>
      </c>
      <c r="R191" t="str">
        <f t="shared" si="19"/>
        <v>Open</v>
      </c>
      <c r="S191" t="str">
        <f t="shared" si="20"/>
        <v>Open</v>
      </c>
    </row>
    <row r="192" spans="1:19" x14ac:dyDescent="0.25">
      <c r="A192" t="s">
        <v>267</v>
      </c>
      <c r="B192" s="1">
        <v>46008</v>
      </c>
      <c r="C192" s="1">
        <v>46009</v>
      </c>
      <c r="D192" t="s">
        <v>49</v>
      </c>
      <c r="E192" t="s">
        <v>29</v>
      </c>
      <c r="F192" t="s">
        <v>41</v>
      </c>
      <c r="G192" t="s">
        <v>16</v>
      </c>
      <c r="H192" t="s">
        <v>136</v>
      </c>
      <c r="I192" t="s">
        <v>69</v>
      </c>
      <c r="J192" t="s">
        <v>18</v>
      </c>
      <c r="K192" t="s">
        <v>39</v>
      </c>
      <c r="L192" t="s">
        <v>19</v>
      </c>
      <c r="M192">
        <f t="shared" si="14"/>
        <v>1</v>
      </c>
      <c r="N192">
        <f t="shared" si="15"/>
        <v>3</v>
      </c>
      <c r="O192" t="str">
        <f t="shared" si="16"/>
        <v>Met</v>
      </c>
      <c r="P192" t="str">
        <f t="shared" si="17"/>
        <v>Dec</v>
      </c>
      <c r="Q192">
        <f t="shared" si="18"/>
        <v>2025</v>
      </c>
      <c r="R192" t="str">
        <f t="shared" si="19"/>
        <v>Closed</v>
      </c>
      <c r="S192" t="str">
        <f t="shared" si="20"/>
        <v>Dec</v>
      </c>
    </row>
    <row r="193" spans="1:19" x14ac:dyDescent="0.25">
      <c r="A193" t="s">
        <v>268</v>
      </c>
      <c r="B193" s="1">
        <v>45746</v>
      </c>
      <c r="C193" s="1">
        <v>45752</v>
      </c>
      <c r="D193" t="s">
        <v>45</v>
      </c>
      <c r="E193" t="s">
        <v>14</v>
      </c>
      <c r="F193" t="s">
        <v>15</v>
      </c>
      <c r="G193" t="s">
        <v>23</v>
      </c>
      <c r="H193" t="s">
        <v>136</v>
      </c>
      <c r="I193" t="s">
        <v>38</v>
      </c>
      <c r="J193" t="s">
        <v>26</v>
      </c>
      <c r="K193" t="s">
        <v>39</v>
      </c>
      <c r="L193" t="s">
        <v>19</v>
      </c>
      <c r="M193">
        <f t="shared" si="14"/>
        <v>6</v>
      </c>
      <c r="N193">
        <f t="shared" si="15"/>
        <v>5</v>
      </c>
      <c r="O193" t="str">
        <f t="shared" si="16"/>
        <v>Breached</v>
      </c>
      <c r="P193" t="str">
        <f t="shared" si="17"/>
        <v>Mar</v>
      </c>
      <c r="Q193">
        <f t="shared" si="18"/>
        <v>2025</v>
      </c>
      <c r="R193" t="str">
        <f t="shared" si="19"/>
        <v>Closed</v>
      </c>
      <c r="S193" t="str">
        <f t="shared" si="20"/>
        <v>Apr</v>
      </c>
    </row>
    <row r="194" spans="1:19" x14ac:dyDescent="0.25">
      <c r="A194" t="s">
        <v>269</v>
      </c>
      <c r="B194" s="1">
        <v>45770</v>
      </c>
      <c r="C194" s="1">
        <v>45773</v>
      </c>
      <c r="D194" t="s">
        <v>28</v>
      </c>
      <c r="E194" t="s">
        <v>14</v>
      </c>
      <c r="F194" t="s">
        <v>22</v>
      </c>
      <c r="G194" t="s">
        <v>31</v>
      </c>
      <c r="H194" t="s">
        <v>136</v>
      </c>
      <c r="I194" t="s">
        <v>25</v>
      </c>
      <c r="J194" t="s">
        <v>26</v>
      </c>
      <c r="K194" t="s">
        <v>20</v>
      </c>
      <c r="L194" t="s">
        <v>39</v>
      </c>
      <c r="M194">
        <f t="shared" ref="M194:M257" si="21">IF(C194="","",C194-B194)</f>
        <v>3</v>
      </c>
      <c r="N194">
        <f t="shared" ref="N194:N257" si="22">IF(D194="P1",1,
IF(D194="P2",3,
IF(D194="P3",5,7)))</f>
        <v>1</v>
      </c>
      <c r="O194" t="str">
        <f t="shared" ref="O194:O257" si="23">IF(C194="","Open",
IF(M194&lt;=N194, "Met", "Breached"))</f>
        <v>Breached</v>
      </c>
      <c r="P194" t="str">
        <f t="shared" ref="P194:P257" si="24">TEXT(B194,"mmm")</f>
        <v>Apr</v>
      </c>
      <c r="Q194">
        <f t="shared" ref="Q194:Q257" si="25">YEAR(B194)</f>
        <v>2025</v>
      </c>
      <c r="R194" t="str">
        <f t="shared" ref="R194:R257" si="26">IF(C194="","Open","Closed")</f>
        <v>Closed</v>
      </c>
      <c r="S194" t="str">
        <f t="shared" ref="S194:S257" si="27">IF(C194="","Open",TEXT(C194,"mmm"))</f>
        <v>Apr</v>
      </c>
    </row>
    <row r="195" spans="1:19" x14ac:dyDescent="0.25">
      <c r="A195" t="s">
        <v>270</v>
      </c>
      <c r="B195" s="1">
        <v>45972</v>
      </c>
      <c r="C195" s="1">
        <v>45972</v>
      </c>
      <c r="D195" t="s">
        <v>28</v>
      </c>
      <c r="E195" t="s">
        <v>14</v>
      </c>
      <c r="F195" t="s">
        <v>15</v>
      </c>
      <c r="G195" t="s">
        <v>23</v>
      </c>
      <c r="H195" t="s">
        <v>128</v>
      </c>
      <c r="I195" t="s">
        <v>69</v>
      </c>
      <c r="J195" t="s">
        <v>34</v>
      </c>
      <c r="K195" t="s">
        <v>20</v>
      </c>
      <c r="L195" t="s">
        <v>19</v>
      </c>
      <c r="M195">
        <f t="shared" si="21"/>
        <v>0</v>
      </c>
      <c r="N195">
        <f t="shared" si="22"/>
        <v>1</v>
      </c>
      <c r="O195" t="str">
        <f t="shared" si="23"/>
        <v>Met</v>
      </c>
      <c r="P195" t="str">
        <f t="shared" si="24"/>
        <v>Nov</v>
      </c>
      <c r="Q195">
        <f t="shared" si="25"/>
        <v>2025</v>
      </c>
      <c r="R195" t="str">
        <f t="shared" si="26"/>
        <v>Closed</v>
      </c>
      <c r="S195" t="str">
        <f t="shared" si="27"/>
        <v>Nov</v>
      </c>
    </row>
    <row r="196" spans="1:19" x14ac:dyDescent="0.25">
      <c r="A196" t="s">
        <v>271</v>
      </c>
      <c r="B196" s="1">
        <v>45707</v>
      </c>
      <c r="D196" t="s">
        <v>13</v>
      </c>
      <c r="E196" t="s">
        <v>58</v>
      </c>
      <c r="F196" t="s">
        <v>36</v>
      </c>
      <c r="G196" t="s">
        <v>42</v>
      </c>
      <c r="H196" t="s">
        <v>32</v>
      </c>
      <c r="I196" t="s">
        <v>52</v>
      </c>
      <c r="J196" t="s">
        <v>60</v>
      </c>
      <c r="K196" t="s">
        <v>19</v>
      </c>
      <c r="L196" t="s">
        <v>19</v>
      </c>
      <c r="M196" t="str">
        <f t="shared" si="21"/>
        <v/>
      </c>
      <c r="N196">
        <f t="shared" si="22"/>
        <v>7</v>
      </c>
      <c r="O196" t="str">
        <f t="shared" si="23"/>
        <v>Open</v>
      </c>
      <c r="P196" t="str">
        <f t="shared" si="24"/>
        <v>Feb</v>
      </c>
      <c r="Q196">
        <f t="shared" si="25"/>
        <v>2025</v>
      </c>
      <c r="R196" t="str">
        <f t="shared" si="26"/>
        <v>Open</v>
      </c>
      <c r="S196" t="str">
        <f t="shared" si="27"/>
        <v>Open</v>
      </c>
    </row>
    <row r="197" spans="1:19" x14ac:dyDescent="0.25">
      <c r="A197" t="s">
        <v>272</v>
      </c>
      <c r="B197" s="1">
        <v>45893</v>
      </c>
      <c r="C197" s="1">
        <v>45899</v>
      </c>
      <c r="D197" t="s">
        <v>28</v>
      </c>
      <c r="E197" t="s">
        <v>14</v>
      </c>
      <c r="F197" t="s">
        <v>30</v>
      </c>
      <c r="G197" t="s">
        <v>23</v>
      </c>
      <c r="H197" t="s">
        <v>591</v>
      </c>
      <c r="I197" t="s">
        <v>52</v>
      </c>
      <c r="J197" t="s">
        <v>60</v>
      </c>
      <c r="K197" t="s">
        <v>19</v>
      </c>
      <c r="L197" t="s">
        <v>19</v>
      </c>
      <c r="M197">
        <f t="shared" si="21"/>
        <v>6</v>
      </c>
      <c r="N197">
        <f t="shared" si="22"/>
        <v>1</v>
      </c>
      <c r="O197" t="str">
        <f t="shared" si="23"/>
        <v>Breached</v>
      </c>
      <c r="P197" t="str">
        <f t="shared" si="24"/>
        <v>Aug</v>
      </c>
      <c r="Q197">
        <f t="shared" si="25"/>
        <v>2025</v>
      </c>
      <c r="R197" t="str">
        <f t="shared" si="26"/>
        <v>Closed</v>
      </c>
      <c r="S197" t="str">
        <f t="shared" si="27"/>
        <v>Aug</v>
      </c>
    </row>
    <row r="198" spans="1:19" x14ac:dyDescent="0.25">
      <c r="A198" t="s">
        <v>273</v>
      </c>
      <c r="B198" s="1">
        <v>45695</v>
      </c>
      <c r="C198" s="1">
        <v>45697</v>
      </c>
      <c r="D198" t="s">
        <v>45</v>
      </c>
      <c r="E198" t="s">
        <v>29</v>
      </c>
      <c r="F198" t="s">
        <v>41</v>
      </c>
      <c r="G198" t="s">
        <v>31</v>
      </c>
      <c r="H198" t="s">
        <v>43</v>
      </c>
      <c r="I198" t="s">
        <v>52</v>
      </c>
      <c r="J198" t="s">
        <v>34</v>
      </c>
      <c r="K198" t="s">
        <v>20</v>
      </c>
      <c r="L198" t="s">
        <v>19</v>
      </c>
      <c r="M198">
        <f t="shared" si="21"/>
        <v>2</v>
      </c>
      <c r="N198">
        <f t="shared" si="22"/>
        <v>5</v>
      </c>
      <c r="O198" t="str">
        <f t="shared" si="23"/>
        <v>Met</v>
      </c>
      <c r="P198" t="str">
        <f t="shared" si="24"/>
        <v>Feb</v>
      </c>
      <c r="Q198">
        <f t="shared" si="25"/>
        <v>2025</v>
      </c>
      <c r="R198" t="str">
        <f t="shared" si="26"/>
        <v>Closed</v>
      </c>
      <c r="S198" t="str">
        <f t="shared" si="27"/>
        <v>Feb</v>
      </c>
    </row>
    <row r="199" spans="1:19" x14ac:dyDescent="0.25">
      <c r="A199" t="s">
        <v>274</v>
      </c>
      <c r="B199" s="1">
        <v>45989</v>
      </c>
      <c r="C199" s="1">
        <v>45990</v>
      </c>
      <c r="D199" t="s">
        <v>49</v>
      </c>
      <c r="E199" t="s">
        <v>29</v>
      </c>
      <c r="F199" t="s">
        <v>592</v>
      </c>
      <c r="G199" t="s">
        <v>23</v>
      </c>
      <c r="H199" t="s">
        <v>128</v>
      </c>
      <c r="I199" t="s">
        <v>17</v>
      </c>
      <c r="J199" t="s">
        <v>26</v>
      </c>
      <c r="K199" t="s">
        <v>39</v>
      </c>
      <c r="L199" t="s">
        <v>39</v>
      </c>
      <c r="M199">
        <f t="shared" si="21"/>
        <v>1</v>
      </c>
      <c r="N199">
        <f t="shared" si="22"/>
        <v>3</v>
      </c>
      <c r="O199" t="str">
        <f t="shared" si="23"/>
        <v>Met</v>
      </c>
      <c r="P199" t="str">
        <f t="shared" si="24"/>
        <v>Nov</v>
      </c>
      <c r="Q199">
        <f t="shared" si="25"/>
        <v>2025</v>
      </c>
      <c r="R199" t="str">
        <f t="shared" si="26"/>
        <v>Closed</v>
      </c>
      <c r="S199" t="str">
        <f t="shared" si="27"/>
        <v>Nov</v>
      </c>
    </row>
    <row r="200" spans="1:19" x14ac:dyDescent="0.25">
      <c r="A200" t="s">
        <v>275</v>
      </c>
      <c r="B200" s="1">
        <v>45948</v>
      </c>
      <c r="C200" s="1">
        <v>45955</v>
      </c>
      <c r="D200" t="s">
        <v>49</v>
      </c>
      <c r="E200" t="s">
        <v>14</v>
      </c>
      <c r="F200" t="s">
        <v>30</v>
      </c>
      <c r="G200" t="s">
        <v>31</v>
      </c>
      <c r="H200" t="s">
        <v>136</v>
      </c>
      <c r="I200" t="s">
        <v>69</v>
      </c>
      <c r="J200" t="s">
        <v>18</v>
      </c>
      <c r="K200" t="s">
        <v>20</v>
      </c>
      <c r="L200" t="s">
        <v>20</v>
      </c>
      <c r="M200">
        <f t="shared" si="21"/>
        <v>7</v>
      </c>
      <c r="N200">
        <f t="shared" si="22"/>
        <v>3</v>
      </c>
      <c r="O200" t="str">
        <f t="shared" si="23"/>
        <v>Breached</v>
      </c>
      <c r="P200" t="str">
        <f t="shared" si="24"/>
        <v>Oct</v>
      </c>
      <c r="Q200">
        <f t="shared" si="25"/>
        <v>2025</v>
      </c>
      <c r="R200" t="str">
        <f t="shared" si="26"/>
        <v>Closed</v>
      </c>
      <c r="S200" t="str">
        <f t="shared" si="27"/>
        <v>Oct</v>
      </c>
    </row>
    <row r="201" spans="1:19" x14ac:dyDescent="0.25">
      <c r="A201" t="s">
        <v>276</v>
      </c>
      <c r="B201" s="1">
        <v>45814</v>
      </c>
      <c r="C201" s="1">
        <v>45817</v>
      </c>
      <c r="D201" t="s">
        <v>45</v>
      </c>
      <c r="E201" t="s">
        <v>14</v>
      </c>
      <c r="F201" t="s">
        <v>36</v>
      </c>
      <c r="G201" t="s">
        <v>23</v>
      </c>
      <c r="H201" t="s">
        <v>110</v>
      </c>
      <c r="I201" t="s">
        <v>38</v>
      </c>
      <c r="J201" t="s">
        <v>18</v>
      </c>
      <c r="K201" t="s">
        <v>20</v>
      </c>
      <c r="L201" t="s">
        <v>20</v>
      </c>
      <c r="M201">
        <f t="shared" si="21"/>
        <v>3</v>
      </c>
      <c r="N201">
        <f t="shared" si="22"/>
        <v>5</v>
      </c>
      <c r="O201" t="str">
        <f t="shared" si="23"/>
        <v>Met</v>
      </c>
      <c r="P201" t="str">
        <f t="shared" si="24"/>
        <v>Jun</v>
      </c>
      <c r="Q201">
        <f t="shared" si="25"/>
        <v>2025</v>
      </c>
      <c r="R201" t="str">
        <f t="shared" si="26"/>
        <v>Closed</v>
      </c>
      <c r="S201" t="str">
        <f t="shared" si="27"/>
        <v>Jun</v>
      </c>
    </row>
    <row r="202" spans="1:19" x14ac:dyDescent="0.25">
      <c r="A202" t="s">
        <v>277</v>
      </c>
      <c r="B202" s="1">
        <v>45907</v>
      </c>
      <c r="C202" s="1">
        <v>45912</v>
      </c>
      <c r="D202" t="s">
        <v>13</v>
      </c>
      <c r="E202" t="s">
        <v>29</v>
      </c>
      <c r="F202" t="s">
        <v>30</v>
      </c>
      <c r="G202" t="s">
        <v>55</v>
      </c>
      <c r="H202" t="s">
        <v>95</v>
      </c>
      <c r="I202" t="s">
        <v>47</v>
      </c>
      <c r="J202" t="s">
        <v>34</v>
      </c>
      <c r="K202" t="s">
        <v>39</v>
      </c>
      <c r="L202" t="s">
        <v>19</v>
      </c>
      <c r="M202">
        <f t="shared" si="21"/>
        <v>5</v>
      </c>
      <c r="N202">
        <f t="shared" si="22"/>
        <v>7</v>
      </c>
      <c r="O202" t="str">
        <f t="shared" si="23"/>
        <v>Met</v>
      </c>
      <c r="P202" t="str">
        <f t="shared" si="24"/>
        <v>Sep</v>
      </c>
      <c r="Q202">
        <f t="shared" si="25"/>
        <v>2025</v>
      </c>
      <c r="R202" t="str">
        <f t="shared" si="26"/>
        <v>Closed</v>
      </c>
      <c r="S202" t="str">
        <f t="shared" si="27"/>
        <v>Sep</v>
      </c>
    </row>
    <row r="203" spans="1:19" x14ac:dyDescent="0.25">
      <c r="A203" t="s">
        <v>278</v>
      </c>
      <c r="B203" s="1">
        <v>45934</v>
      </c>
      <c r="C203" s="1">
        <v>45935</v>
      </c>
      <c r="D203" t="s">
        <v>49</v>
      </c>
      <c r="E203" t="s">
        <v>29</v>
      </c>
      <c r="F203" t="s">
        <v>50</v>
      </c>
      <c r="G203" t="s">
        <v>55</v>
      </c>
      <c r="H203" t="s">
        <v>136</v>
      </c>
      <c r="I203" t="s">
        <v>38</v>
      </c>
      <c r="J203" t="s">
        <v>34</v>
      </c>
      <c r="K203" t="s">
        <v>39</v>
      </c>
      <c r="L203" t="s">
        <v>19</v>
      </c>
      <c r="M203">
        <f t="shared" si="21"/>
        <v>1</v>
      </c>
      <c r="N203">
        <f t="shared" si="22"/>
        <v>3</v>
      </c>
      <c r="O203" t="str">
        <f t="shared" si="23"/>
        <v>Met</v>
      </c>
      <c r="P203" t="str">
        <f t="shared" si="24"/>
        <v>Oct</v>
      </c>
      <c r="Q203">
        <f t="shared" si="25"/>
        <v>2025</v>
      </c>
      <c r="R203" t="str">
        <f t="shared" si="26"/>
        <v>Closed</v>
      </c>
      <c r="S203" t="str">
        <f t="shared" si="27"/>
        <v>Oct</v>
      </c>
    </row>
    <row r="204" spans="1:19" x14ac:dyDescent="0.25">
      <c r="A204" t="s">
        <v>279</v>
      </c>
      <c r="B204" s="1">
        <v>45995</v>
      </c>
      <c r="C204" s="1">
        <v>45995</v>
      </c>
      <c r="D204" t="s">
        <v>13</v>
      </c>
      <c r="E204" t="s">
        <v>14</v>
      </c>
      <c r="F204" t="s">
        <v>41</v>
      </c>
      <c r="G204" t="s">
        <v>16</v>
      </c>
      <c r="H204" t="s">
        <v>92</v>
      </c>
      <c r="I204" t="s">
        <v>25</v>
      </c>
      <c r="J204" t="s">
        <v>60</v>
      </c>
      <c r="K204" t="s">
        <v>19</v>
      </c>
      <c r="L204" t="s">
        <v>20</v>
      </c>
      <c r="M204">
        <f t="shared" si="21"/>
        <v>0</v>
      </c>
      <c r="N204">
        <f t="shared" si="22"/>
        <v>7</v>
      </c>
      <c r="O204" t="str">
        <f t="shared" si="23"/>
        <v>Met</v>
      </c>
      <c r="P204" t="str">
        <f t="shared" si="24"/>
        <v>Dec</v>
      </c>
      <c r="Q204">
        <f t="shared" si="25"/>
        <v>2025</v>
      </c>
      <c r="R204" t="str">
        <f t="shared" si="26"/>
        <v>Closed</v>
      </c>
      <c r="S204" t="str">
        <f t="shared" si="27"/>
        <v>Dec</v>
      </c>
    </row>
    <row r="205" spans="1:19" x14ac:dyDescent="0.25">
      <c r="A205" t="s">
        <v>280</v>
      </c>
      <c r="B205" s="1">
        <v>45924</v>
      </c>
      <c r="C205" s="1">
        <v>45924</v>
      </c>
      <c r="D205" t="s">
        <v>45</v>
      </c>
      <c r="E205" t="s">
        <v>14</v>
      </c>
      <c r="F205" t="s">
        <v>592</v>
      </c>
      <c r="G205" t="s">
        <v>42</v>
      </c>
      <c r="H205" t="s">
        <v>59</v>
      </c>
      <c r="I205" t="s">
        <v>47</v>
      </c>
      <c r="J205" t="s">
        <v>26</v>
      </c>
      <c r="K205" t="s">
        <v>20</v>
      </c>
      <c r="L205" t="s">
        <v>20</v>
      </c>
      <c r="M205">
        <f t="shared" si="21"/>
        <v>0</v>
      </c>
      <c r="N205">
        <f t="shared" si="22"/>
        <v>5</v>
      </c>
      <c r="O205" t="str">
        <f t="shared" si="23"/>
        <v>Met</v>
      </c>
      <c r="P205" t="str">
        <f t="shared" si="24"/>
        <v>Sep</v>
      </c>
      <c r="Q205">
        <f t="shared" si="25"/>
        <v>2025</v>
      </c>
      <c r="R205" t="str">
        <f t="shared" si="26"/>
        <v>Closed</v>
      </c>
      <c r="S205" t="str">
        <f t="shared" si="27"/>
        <v>Sep</v>
      </c>
    </row>
    <row r="206" spans="1:19" x14ac:dyDescent="0.25">
      <c r="A206" t="s">
        <v>280</v>
      </c>
      <c r="B206" s="1">
        <v>45788</v>
      </c>
      <c r="C206" s="1">
        <v>45798</v>
      </c>
      <c r="D206" t="s">
        <v>13</v>
      </c>
      <c r="E206" t="s">
        <v>29</v>
      </c>
      <c r="F206" t="s">
        <v>22</v>
      </c>
      <c r="G206" t="s">
        <v>55</v>
      </c>
      <c r="H206" t="s">
        <v>151</v>
      </c>
      <c r="I206" t="s">
        <v>47</v>
      </c>
      <c r="J206" t="s">
        <v>26</v>
      </c>
      <c r="K206" t="s">
        <v>19</v>
      </c>
      <c r="L206" t="s">
        <v>20</v>
      </c>
      <c r="M206">
        <f t="shared" si="21"/>
        <v>10</v>
      </c>
      <c r="N206">
        <f t="shared" si="22"/>
        <v>7</v>
      </c>
      <c r="O206" t="str">
        <f t="shared" si="23"/>
        <v>Breached</v>
      </c>
      <c r="P206" t="str">
        <f t="shared" si="24"/>
        <v>May</v>
      </c>
      <c r="Q206">
        <f t="shared" si="25"/>
        <v>2025</v>
      </c>
      <c r="R206" t="str">
        <f t="shared" si="26"/>
        <v>Closed</v>
      </c>
      <c r="S206" t="str">
        <f t="shared" si="27"/>
        <v>May</v>
      </c>
    </row>
    <row r="207" spans="1:19" x14ac:dyDescent="0.25">
      <c r="A207" t="s">
        <v>281</v>
      </c>
      <c r="B207" s="1">
        <v>45661</v>
      </c>
      <c r="C207" s="1">
        <v>45670</v>
      </c>
      <c r="D207" t="s">
        <v>13</v>
      </c>
      <c r="E207" t="s">
        <v>29</v>
      </c>
      <c r="F207" t="s">
        <v>66</v>
      </c>
      <c r="G207" t="s">
        <v>31</v>
      </c>
      <c r="H207" t="s">
        <v>37</v>
      </c>
      <c r="I207" t="s">
        <v>52</v>
      </c>
      <c r="J207" t="s">
        <v>18</v>
      </c>
      <c r="K207" t="s">
        <v>20</v>
      </c>
      <c r="L207" t="s">
        <v>39</v>
      </c>
      <c r="M207">
        <f t="shared" si="21"/>
        <v>9</v>
      </c>
      <c r="N207">
        <f t="shared" si="22"/>
        <v>7</v>
      </c>
      <c r="O207" t="str">
        <f t="shared" si="23"/>
        <v>Breached</v>
      </c>
      <c r="P207" t="str">
        <f t="shared" si="24"/>
        <v>Jan</v>
      </c>
      <c r="Q207">
        <f t="shared" si="25"/>
        <v>2025</v>
      </c>
      <c r="R207" t="str">
        <f t="shared" si="26"/>
        <v>Closed</v>
      </c>
      <c r="S207" t="str">
        <f t="shared" si="27"/>
        <v>Jan</v>
      </c>
    </row>
    <row r="208" spans="1:19" x14ac:dyDescent="0.25">
      <c r="A208" t="s">
        <v>281</v>
      </c>
      <c r="B208" s="1">
        <v>45717</v>
      </c>
      <c r="D208" t="s">
        <v>13</v>
      </c>
      <c r="E208" t="s">
        <v>76</v>
      </c>
      <c r="F208" t="s">
        <v>592</v>
      </c>
      <c r="G208" t="s">
        <v>16</v>
      </c>
      <c r="H208" t="s">
        <v>136</v>
      </c>
      <c r="I208" t="s">
        <v>47</v>
      </c>
      <c r="J208" t="s">
        <v>26</v>
      </c>
      <c r="K208" t="s">
        <v>39</v>
      </c>
      <c r="L208" t="s">
        <v>39</v>
      </c>
      <c r="M208" t="str">
        <f t="shared" si="21"/>
        <v/>
      </c>
      <c r="N208">
        <f t="shared" si="22"/>
        <v>7</v>
      </c>
      <c r="O208" t="str">
        <f t="shared" si="23"/>
        <v>Open</v>
      </c>
      <c r="P208" t="str">
        <f t="shared" si="24"/>
        <v>Mar</v>
      </c>
      <c r="Q208">
        <f t="shared" si="25"/>
        <v>2025</v>
      </c>
      <c r="R208" t="str">
        <f t="shared" si="26"/>
        <v>Open</v>
      </c>
      <c r="S208" t="str">
        <f t="shared" si="27"/>
        <v>Open</v>
      </c>
    </row>
    <row r="209" spans="1:19" x14ac:dyDescent="0.25">
      <c r="A209" t="s">
        <v>282</v>
      </c>
      <c r="B209" s="1">
        <v>45989</v>
      </c>
      <c r="C209" s="1">
        <v>45989</v>
      </c>
      <c r="D209" t="s">
        <v>28</v>
      </c>
      <c r="E209" t="s">
        <v>14</v>
      </c>
      <c r="F209" t="s">
        <v>36</v>
      </c>
      <c r="G209" t="s">
        <v>16</v>
      </c>
      <c r="H209" t="s">
        <v>136</v>
      </c>
      <c r="I209" t="s">
        <v>52</v>
      </c>
      <c r="J209" t="s">
        <v>26</v>
      </c>
      <c r="K209" t="s">
        <v>39</v>
      </c>
      <c r="L209" t="s">
        <v>39</v>
      </c>
      <c r="M209">
        <f t="shared" si="21"/>
        <v>0</v>
      </c>
      <c r="N209">
        <f t="shared" si="22"/>
        <v>1</v>
      </c>
      <c r="O209" t="str">
        <f t="shared" si="23"/>
        <v>Met</v>
      </c>
      <c r="P209" t="str">
        <f t="shared" si="24"/>
        <v>Nov</v>
      </c>
      <c r="Q209">
        <f t="shared" si="25"/>
        <v>2025</v>
      </c>
      <c r="R209" t="str">
        <f t="shared" si="26"/>
        <v>Closed</v>
      </c>
      <c r="S209" t="str">
        <f t="shared" si="27"/>
        <v>Nov</v>
      </c>
    </row>
    <row r="210" spans="1:19" x14ac:dyDescent="0.25">
      <c r="A210" t="s">
        <v>283</v>
      </c>
      <c r="B210" s="1">
        <v>45899</v>
      </c>
      <c r="C210" s="1">
        <v>45901</v>
      </c>
      <c r="D210" t="s">
        <v>13</v>
      </c>
      <c r="E210" t="s">
        <v>14</v>
      </c>
      <c r="F210" t="s">
        <v>66</v>
      </c>
      <c r="G210" t="s">
        <v>42</v>
      </c>
      <c r="H210" t="s">
        <v>56</v>
      </c>
      <c r="I210" t="s">
        <v>17</v>
      </c>
      <c r="J210" t="s">
        <v>60</v>
      </c>
      <c r="K210" t="s">
        <v>39</v>
      </c>
      <c r="L210" t="s">
        <v>39</v>
      </c>
      <c r="M210">
        <f t="shared" si="21"/>
        <v>2</v>
      </c>
      <c r="N210">
        <f t="shared" si="22"/>
        <v>7</v>
      </c>
      <c r="O210" t="str">
        <f t="shared" si="23"/>
        <v>Met</v>
      </c>
      <c r="P210" t="str">
        <f t="shared" si="24"/>
        <v>Aug</v>
      </c>
      <c r="Q210">
        <f t="shared" si="25"/>
        <v>2025</v>
      </c>
      <c r="R210" t="str">
        <f t="shared" si="26"/>
        <v>Closed</v>
      </c>
      <c r="S210" t="str">
        <f t="shared" si="27"/>
        <v>Sep</v>
      </c>
    </row>
    <row r="211" spans="1:19" x14ac:dyDescent="0.25">
      <c r="A211" t="s">
        <v>284</v>
      </c>
      <c r="B211" s="1">
        <v>45916</v>
      </c>
      <c r="C211" s="1">
        <v>45921</v>
      </c>
      <c r="D211" t="s">
        <v>45</v>
      </c>
      <c r="E211" t="s">
        <v>14</v>
      </c>
      <c r="F211" t="s">
        <v>15</v>
      </c>
      <c r="G211" t="s">
        <v>55</v>
      </c>
      <c r="H211" t="s">
        <v>77</v>
      </c>
      <c r="I211" t="s">
        <v>47</v>
      </c>
      <c r="J211" t="s">
        <v>60</v>
      </c>
      <c r="K211" t="s">
        <v>19</v>
      </c>
      <c r="L211" t="s">
        <v>19</v>
      </c>
      <c r="M211">
        <f t="shared" si="21"/>
        <v>5</v>
      </c>
      <c r="N211">
        <f t="shared" si="22"/>
        <v>5</v>
      </c>
      <c r="O211" t="str">
        <f t="shared" si="23"/>
        <v>Met</v>
      </c>
      <c r="P211" t="str">
        <f t="shared" si="24"/>
        <v>Sep</v>
      </c>
      <c r="Q211">
        <f t="shared" si="25"/>
        <v>2025</v>
      </c>
      <c r="R211" t="str">
        <f t="shared" si="26"/>
        <v>Closed</v>
      </c>
      <c r="S211" t="str">
        <f t="shared" si="27"/>
        <v>Sep</v>
      </c>
    </row>
    <row r="212" spans="1:19" x14ac:dyDescent="0.25">
      <c r="A212" t="s">
        <v>285</v>
      </c>
      <c r="B212" s="1">
        <v>45904</v>
      </c>
      <c r="C212" s="1">
        <v>45904</v>
      </c>
      <c r="D212" t="s">
        <v>49</v>
      </c>
      <c r="E212" t="s">
        <v>14</v>
      </c>
      <c r="F212" t="s">
        <v>15</v>
      </c>
      <c r="G212" t="s">
        <v>55</v>
      </c>
      <c r="H212" t="s">
        <v>51</v>
      </c>
      <c r="I212" t="s">
        <v>25</v>
      </c>
      <c r="J212" t="s">
        <v>60</v>
      </c>
      <c r="K212" t="s">
        <v>19</v>
      </c>
      <c r="L212" t="s">
        <v>19</v>
      </c>
      <c r="M212">
        <f t="shared" si="21"/>
        <v>0</v>
      </c>
      <c r="N212">
        <f t="shared" si="22"/>
        <v>3</v>
      </c>
      <c r="O212" t="str">
        <f t="shared" si="23"/>
        <v>Met</v>
      </c>
      <c r="P212" t="str">
        <f t="shared" si="24"/>
        <v>Sep</v>
      </c>
      <c r="Q212">
        <f t="shared" si="25"/>
        <v>2025</v>
      </c>
      <c r="R212" t="str">
        <f t="shared" si="26"/>
        <v>Closed</v>
      </c>
      <c r="S212" t="str">
        <f t="shared" si="27"/>
        <v>Sep</v>
      </c>
    </row>
    <row r="213" spans="1:19" x14ac:dyDescent="0.25">
      <c r="A213" t="s">
        <v>286</v>
      </c>
      <c r="B213" s="1">
        <v>45661</v>
      </c>
      <c r="C213" s="1">
        <v>45665</v>
      </c>
      <c r="D213" t="s">
        <v>13</v>
      </c>
      <c r="E213" t="s">
        <v>29</v>
      </c>
      <c r="F213" t="s">
        <v>50</v>
      </c>
      <c r="G213" t="s">
        <v>42</v>
      </c>
      <c r="H213" t="s">
        <v>77</v>
      </c>
      <c r="I213" t="s">
        <v>17</v>
      </c>
      <c r="J213" t="s">
        <v>26</v>
      </c>
      <c r="K213" t="s">
        <v>19</v>
      </c>
      <c r="L213" t="s">
        <v>19</v>
      </c>
      <c r="M213">
        <f t="shared" si="21"/>
        <v>4</v>
      </c>
      <c r="N213">
        <f t="shared" si="22"/>
        <v>7</v>
      </c>
      <c r="O213" t="str">
        <f t="shared" si="23"/>
        <v>Met</v>
      </c>
      <c r="P213" t="str">
        <f t="shared" si="24"/>
        <v>Jan</v>
      </c>
      <c r="Q213">
        <f t="shared" si="25"/>
        <v>2025</v>
      </c>
      <c r="R213" t="str">
        <f t="shared" si="26"/>
        <v>Closed</v>
      </c>
      <c r="S213" t="str">
        <f t="shared" si="27"/>
        <v>Jan</v>
      </c>
    </row>
    <row r="214" spans="1:19" x14ac:dyDescent="0.25">
      <c r="A214" t="s">
        <v>287</v>
      </c>
      <c r="B214" s="1">
        <v>45815</v>
      </c>
      <c r="C214" s="1">
        <v>45815</v>
      </c>
      <c r="D214" t="s">
        <v>28</v>
      </c>
      <c r="E214" t="s">
        <v>29</v>
      </c>
      <c r="F214" t="s">
        <v>41</v>
      </c>
      <c r="G214" t="s">
        <v>23</v>
      </c>
      <c r="H214" t="s">
        <v>136</v>
      </c>
      <c r="I214" t="s">
        <v>17</v>
      </c>
      <c r="J214" t="s">
        <v>18</v>
      </c>
      <c r="K214" t="s">
        <v>19</v>
      </c>
      <c r="L214" t="s">
        <v>39</v>
      </c>
      <c r="M214">
        <f t="shared" si="21"/>
        <v>0</v>
      </c>
      <c r="N214">
        <f t="shared" si="22"/>
        <v>1</v>
      </c>
      <c r="O214" t="str">
        <f t="shared" si="23"/>
        <v>Met</v>
      </c>
      <c r="P214" t="str">
        <f t="shared" si="24"/>
        <v>Jun</v>
      </c>
      <c r="Q214">
        <f t="shared" si="25"/>
        <v>2025</v>
      </c>
      <c r="R214" t="str">
        <f t="shared" si="26"/>
        <v>Closed</v>
      </c>
      <c r="S214" t="str">
        <f t="shared" si="27"/>
        <v>Jun</v>
      </c>
    </row>
    <row r="215" spans="1:19" x14ac:dyDescent="0.25">
      <c r="A215" t="s">
        <v>288</v>
      </c>
      <c r="B215" s="1">
        <v>45732</v>
      </c>
      <c r="C215" s="1">
        <v>45740</v>
      </c>
      <c r="D215" t="s">
        <v>13</v>
      </c>
      <c r="E215" t="s">
        <v>29</v>
      </c>
      <c r="F215" t="s">
        <v>592</v>
      </c>
      <c r="G215" t="s">
        <v>16</v>
      </c>
      <c r="H215" t="s">
        <v>79</v>
      </c>
      <c r="I215" t="s">
        <v>25</v>
      </c>
      <c r="J215" t="s">
        <v>34</v>
      </c>
      <c r="K215" t="s">
        <v>19</v>
      </c>
      <c r="L215" t="s">
        <v>19</v>
      </c>
      <c r="M215">
        <f t="shared" si="21"/>
        <v>8</v>
      </c>
      <c r="N215">
        <f t="shared" si="22"/>
        <v>7</v>
      </c>
      <c r="O215" t="str">
        <f t="shared" si="23"/>
        <v>Breached</v>
      </c>
      <c r="P215" t="str">
        <f t="shared" si="24"/>
        <v>Mar</v>
      </c>
      <c r="Q215">
        <f t="shared" si="25"/>
        <v>2025</v>
      </c>
      <c r="R215" t="str">
        <f t="shared" si="26"/>
        <v>Closed</v>
      </c>
      <c r="S215" t="str">
        <f t="shared" si="27"/>
        <v>Mar</v>
      </c>
    </row>
    <row r="216" spans="1:19" x14ac:dyDescent="0.25">
      <c r="A216" t="s">
        <v>289</v>
      </c>
      <c r="B216" s="1">
        <v>45675</v>
      </c>
      <c r="C216" s="1">
        <v>45681</v>
      </c>
      <c r="D216" t="s">
        <v>28</v>
      </c>
      <c r="E216" t="s">
        <v>14</v>
      </c>
      <c r="F216" t="s">
        <v>66</v>
      </c>
      <c r="G216" t="s">
        <v>42</v>
      </c>
      <c r="H216" t="s">
        <v>128</v>
      </c>
      <c r="I216" t="s">
        <v>25</v>
      </c>
      <c r="J216" t="s">
        <v>26</v>
      </c>
      <c r="K216" t="s">
        <v>19</v>
      </c>
      <c r="L216" t="s">
        <v>19</v>
      </c>
      <c r="M216">
        <f t="shared" si="21"/>
        <v>6</v>
      </c>
      <c r="N216">
        <f t="shared" si="22"/>
        <v>1</v>
      </c>
      <c r="O216" t="str">
        <f t="shared" si="23"/>
        <v>Breached</v>
      </c>
      <c r="P216" t="str">
        <f t="shared" si="24"/>
        <v>Jan</v>
      </c>
      <c r="Q216">
        <f t="shared" si="25"/>
        <v>2025</v>
      </c>
      <c r="R216" t="str">
        <f t="shared" si="26"/>
        <v>Closed</v>
      </c>
      <c r="S216" t="str">
        <f t="shared" si="27"/>
        <v>Jan</v>
      </c>
    </row>
    <row r="217" spans="1:19" x14ac:dyDescent="0.25">
      <c r="A217" t="s">
        <v>290</v>
      </c>
      <c r="B217" s="1">
        <v>45836</v>
      </c>
      <c r="C217" s="1">
        <v>45839</v>
      </c>
      <c r="D217" t="s">
        <v>45</v>
      </c>
      <c r="E217" t="s">
        <v>29</v>
      </c>
      <c r="F217" t="s">
        <v>36</v>
      </c>
      <c r="G217" t="s">
        <v>23</v>
      </c>
      <c r="H217" t="s">
        <v>46</v>
      </c>
      <c r="I217" t="s">
        <v>33</v>
      </c>
      <c r="J217" t="s">
        <v>26</v>
      </c>
      <c r="K217" t="s">
        <v>19</v>
      </c>
      <c r="L217" t="s">
        <v>20</v>
      </c>
      <c r="M217">
        <f t="shared" si="21"/>
        <v>3</v>
      </c>
      <c r="N217">
        <f t="shared" si="22"/>
        <v>5</v>
      </c>
      <c r="O217" t="str">
        <f t="shared" si="23"/>
        <v>Met</v>
      </c>
      <c r="P217" t="str">
        <f t="shared" si="24"/>
        <v>Jun</v>
      </c>
      <c r="Q217">
        <f t="shared" si="25"/>
        <v>2025</v>
      </c>
      <c r="R217" t="str">
        <f t="shared" si="26"/>
        <v>Closed</v>
      </c>
      <c r="S217" t="str">
        <f t="shared" si="27"/>
        <v>Jul</v>
      </c>
    </row>
    <row r="218" spans="1:19" x14ac:dyDescent="0.25">
      <c r="A218" t="s">
        <v>291</v>
      </c>
      <c r="B218" s="1">
        <v>45946</v>
      </c>
      <c r="C218" s="1">
        <v>45948</v>
      </c>
      <c r="D218" t="s">
        <v>13</v>
      </c>
      <c r="E218" t="s">
        <v>29</v>
      </c>
      <c r="F218" t="s">
        <v>36</v>
      </c>
      <c r="G218" t="s">
        <v>31</v>
      </c>
      <c r="H218" t="s">
        <v>59</v>
      </c>
      <c r="I218" t="s">
        <v>69</v>
      </c>
      <c r="J218" t="s">
        <v>60</v>
      </c>
      <c r="K218" t="s">
        <v>19</v>
      </c>
      <c r="L218" t="s">
        <v>20</v>
      </c>
      <c r="M218">
        <f t="shared" si="21"/>
        <v>2</v>
      </c>
      <c r="N218">
        <f t="shared" si="22"/>
        <v>7</v>
      </c>
      <c r="O218" t="str">
        <f t="shared" si="23"/>
        <v>Met</v>
      </c>
      <c r="P218" t="str">
        <f t="shared" si="24"/>
        <v>Oct</v>
      </c>
      <c r="Q218">
        <f t="shared" si="25"/>
        <v>2025</v>
      </c>
      <c r="R218" t="str">
        <f t="shared" si="26"/>
        <v>Closed</v>
      </c>
      <c r="S218" t="str">
        <f t="shared" si="27"/>
        <v>Oct</v>
      </c>
    </row>
    <row r="219" spans="1:19" x14ac:dyDescent="0.25">
      <c r="A219" t="s">
        <v>292</v>
      </c>
      <c r="B219" s="1">
        <v>45705</v>
      </c>
      <c r="C219" s="1">
        <v>45710</v>
      </c>
      <c r="D219" t="s">
        <v>49</v>
      </c>
      <c r="E219" t="s">
        <v>29</v>
      </c>
      <c r="F219" t="s">
        <v>50</v>
      </c>
      <c r="G219" t="s">
        <v>31</v>
      </c>
      <c r="H219" t="s">
        <v>59</v>
      </c>
      <c r="I219" t="s">
        <v>17</v>
      </c>
      <c r="J219" t="s">
        <v>34</v>
      </c>
      <c r="K219" t="s">
        <v>39</v>
      </c>
      <c r="L219" t="s">
        <v>19</v>
      </c>
      <c r="M219">
        <f t="shared" si="21"/>
        <v>5</v>
      </c>
      <c r="N219">
        <f t="shared" si="22"/>
        <v>3</v>
      </c>
      <c r="O219" t="str">
        <f t="shared" si="23"/>
        <v>Breached</v>
      </c>
      <c r="P219" t="str">
        <f t="shared" si="24"/>
        <v>Feb</v>
      </c>
      <c r="Q219">
        <f t="shared" si="25"/>
        <v>2025</v>
      </c>
      <c r="R219" t="str">
        <f t="shared" si="26"/>
        <v>Closed</v>
      </c>
      <c r="S219" t="str">
        <f t="shared" si="27"/>
        <v>Feb</v>
      </c>
    </row>
    <row r="220" spans="1:19" x14ac:dyDescent="0.25">
      <c r="A220" t="s">
        <v>293</v>
      </c>
      <c r="B220" s="1">
        <v>45712</v>
      </c>
      <c r="D220" t="s">
        <v>45</v>
      </c>
      <c r="E220" t="s">
        <v>76</v>
      </c>
      <c r="F220" t="s">
        <v>41</v>
      </c>
      <c r="G220" t="s">
        <v>42</v>
      </c>
      <c r="H220" t="s">
        <v>37</v>
      </c>
      <c r="I220" t="s">
        <v>38</v>
      </c>
      <c r="J220" t="s">
        <v>34</v>
      </c>
      <c r="K220" t="s">
        <v>19</v>
      </c>
      <c r="L220" t="s">
        <v>20</v>
      </c>
      <c r="M220" t="str">
        <f t="shared" si="21"/>
        <v/>
      </c>
      <c r="N220">
        <f t="shared" si="22"/>
        <v>5</v>
      </c>
      <c r="O220" t="str">
        <f t="shared" si="23"/>
        <v>Open</v>
      </c>
      <c r="P220" t="str">
        <f t="shared" si="24"/>
        <v>Feb</v>
      </c>
      <c r="Q220">
        <f t="shared" si="25"/>
        <v>2025</v>
      </c>
      <c r="R220" t="str">
        <f t="shared" si="26"/>
        <v>Open</v>
      </c>
      <c r="S220" t="str">
        <f t="shared" si="27"/>
        <v>Open</v>
      </c>
    </row>
    <row r="221" spans="1:19" x14ac:dyDescent="0.25">
      <c r="A221" t="s">
        <v>294</v>
      </c>
      <c r="B221" s="1">
        <v>45953</v>
      </c>
      <c r="D221" t="s">
        <v>28</v>
      </c>
      <c r="E221" t="s">
        <v>58</v>
      </c>
      <c r="F221" t="s">
        <v>36</v>
      </c>
      <c r="G221" t="s">
        <v>55</v>
      </c>
      <c r="H221" t="s">
        <v>24</v>
      </c>
      <c r="I221" t="s">
        <v>25</v>
      </c>
      <c r="J221" t="s">
        <v>34</v>
      </c>
      <c r="K221" t="s">
        <v>20</v>
      </c>
      <c r="L221" t="s">
        <v>19</v>
      </c>
      <c r="M221" t="str">
        <f t="shared" si="21"/>
        <v/>
      </c>
      <c r="N221">
        <f t="shared" si="22"/>
        <v>1</v>
      </c>
      <c r="O221" t="str">
        <f t="shared" si="23"/>
        <v>Open</v>
      </c>
      <c r="P221" t="str">
        <f t="shared" si="24"/>
        <v>Oct</v>
      </c>
      <c r="Q221">
        <f t="shared" si="25"/>
        <v>2025</v>
      </c>
      <c r="R221" t="str">
        <f t="shared" si="26"/>
        <v>Open</v>
      </c>
      <c r="S221" t="str">
        <f t="shared" si="27"/>
        <v>Open</v>
      </c>
    </row>
    <row r="222" spans="1:19" x14ac:dyDescent="0.25">
      <c r="A222" t="s">
        <v>295</v>
      </c>
      <c r="B222" s="1">
        <v>45843</v>
      </c>
      <c r="C222" s="1">
        <v>45843</v>
      </c>
      <c r="D222" t="s">
        <v>49</v>
      </c>
      <c r="E222" t="s">
        <v>14</v>
      </c>
      <c r="F222" t="s">
        <v>22</v>
      </c>
      <c r="G222" t="s">
        <v>23</v>
      </c>
      <c r="H222" t="s">
        <v>43</v>
      </c>
      <c r="I222" t="s">
        <v>33</v>
      </c>
      <c r="J222" t="s">
        <v>34</v>
      </c>
      <c r="K222" t="s">
        <v>19</v>
      </c>
      <c r="L222" t="s">
        <v>19</v>
      </c>
      <c r="M222">
        <f t="shared" si="21"/>
        <v>0</v>
      </c>
      <c r="N222">
        <f t="shared" si="22"/>
        <v>3</v>
      </c>
      <c r="O222" t="str">
        <f t="shared" si="23"/>
        <v>Met</v>
      </c>
      <c r="P222" t="str">
        <f t="shared" si="24"/>
        <v>Jul</v>
      </c>
      <c r="Q222">
        <f t="shared" si="25"/>
        <v>2025</v>
      </c>
      <c r="R222" t="str">
        <f t="shared" si="26"/>
        <v>Closed</v>
      </c>
      <c r="S222" t="str">
        <f t="shared" si="27"/>
        <v>Jul</v>
      </c>
    </row>
    <row r="223" spans="1:19" x14ac:dyDescent="0.25">
      <c r="A223" t="s">
        <v>296</v>
      </c>
      <c r="B223" s="1">
        <v>45709</v>
      </c>
      <c r="C223" s="1">
        <v>45713</v>
      </c>
      <c r="D223" t="s">
        <v>45</v>
      </c>
      <c r="E223" t="s">
        <v>14</v>
      </c>
      <c r="F223" t="s">
        <v>66</v>
      </c>
      <c r="G223" t="s">
        <v>16</v>
      </c>
      <c r="H223" t="s">
        <v>37</v>
      </c>
      <c r="I223" t="s">
        <v>69</v>
      </c>
      <c r="J223" t="s">
        <v>60</v>
      </c>
      <c r="K223" t="s">
        <v>20</v>
      </c>
      <c r="L223" t="s">
        <v>39</v>
      </c>
      <c r="M223">
        <f t="shared" si="21"/>
        <v>4</v>
      </c>
      <c r="N223">
        <f t="shared" si="22"/>
        <v>5</v>
      </c>
      <c r="O223" t="str">
        <f t="shared" si="23"/>
        <v>Met</v>
      </c>
      <c r="P223" t="str">
        <f t="shared" si="24"/>
        <v>Feb</v>
      </c>
      <c r="Q223">
        <f t="shared" si="25"/>
        <v>2025</v>
      </c>
      <c r="R223" t="str">
        <f t="shared" si="26"/>
        <v>Closed</v>
      </c>
      <c r="S223" t="str">
        <f t="shared" si="27"/>
        <v>Feb</v>
      </c>
    </row>
    <row r="224" spans="1:19" x14ac:dyDescent="0.25">
      <c r="A224" t="s">
        <v>298</v>
      </c>
      <c r="B224" s="1">
        <v>45688</v>
      </c>
      <c r="D224" t="s">
        <v>49</v>
      </c>
      <c r="E224" t="s">
        <v>58</v>
      </c>
      <c r="F224" t="s">
        <v>15</v>
      </c>
      <c r="G224" t="s">
        <v>23</v>
      </c>
      <c r="H224" t="s">
        <v>77</v>
      </c>
      <c r="I224" t="s">
        <v>33</v>
      </c>
      <c r="J224" t="s">
        <v>34</v>
      </c>
      <c r="K224" t="s">
        <v>20</v>
      </c>
      <c r="L224" t="s">
        <v>20</v>
      </c>
      <c r="M224" t="str">
        <f t="shared" si="21"/>
        <v/>
      </c>
      <c r="N224">
        <f t="shared" si="22"/>
        <v>3</v>
      </c>
      <c r="O224" t="str">
        <f t="shared" si="23"/>
        <v>Open</v>
      </c>
      <c r="P224" t="str">
        <f t="shared" si="24"/>
        <v>Jan</v>
      </c>
      <c r="Q224">
        <f t="shared" si="25"/>
        <v>2025</v>
      </c>
      <c r="R224" t="str">
        <f t="shared" si="26"/>
        <v>Open</v>
      </c>
      <c r="S224" t="str">
        <f t="shared" si="27"/>
        <v>Open</v>
      </c>
    </row>
    <row r="225" spans="1:19" x14ac:dyDescent="0.25">
      <c r="A225" t="s">
        <v>299</v>
      </c>
      <c r="B225" s="1">
        <v>45919</v>
      </c>
      <c r="C225" s="1">
        <v>45924</v>
      </c>
      <c r="D225" t="s">
        <v>45</v>
      </c>
      <c r="E225" t="s">
        <v>29</v>
      </c>
      <c r="F225" t="s">
        <v>66</v>
      </c>
      <c r="G225" t="s">
        <v>16</v>
      </c>
      <c r="H225" t="s">
        <v>56</v>
      </c>
      <c r="I225" t="s">
        <v>17</v>
      </c>
      <c r="J225" t="s">
        <v>26</v>
      </c>
      <c r="K225" t="s">
        <v>20</v>
      </c>
      <c r="L225" t="s">
        <v>19</v>
      </c>
      <c r="M225">
        <f t="shared" si="21"/>
        <v>5</v>
      </c>
      <c r="N225">
        <f t="shared" si="22"/>
        <v>5</v>
      </c>
      <c r="O225" t="str">
        <f t="shared" si="23"/>
        <v>Met</v>
      </c>
      <c r="P225" t="str">
        <f t="shared" si="24"/>
        <v>Sep</v>
      </c>
      <c r="Q225">
        <f t="shared" si="25"/>
        <v>2025</v>
      </c>
      <c r="R225" t="str">
        <f t="shared" si="26"/>
        <v>Closed</v>
      </c>
      <c r="S225" t="str">
        <f t="shared" si="27"/>
        <v>Sep</v>
      </c>
    </row>
    <row r="226" spans="1:19" x14ac:dyDescent="0.25">
      <c r="A226" t="s">
        <v>300</v>
      </c>
      <c r="B226" s="1">
        <v>45794</v>
      </c>
      <c r="C226" s="1">
        <v>45796</v>
      </c>
      <c r="D226" t="s">
        <v>13</v>
      </c>
      <c r="E226" t="s">
        <v>14</v>
      </c>
      <c r="F226" t="s">
        <v>41</v>
      </c>
      <c r="G226" t="s">
        <v>23</v>
      </c>
      <c r="H226" t="s">
        <v>56</v>
      </c>
      <c r="I226" t="s">
        <v>25</v>
      </c>
      <c r="J226" t="s">
        <v>60</v>
      </c>
      <c r="K226" t="s">
        <v>39</v>
      </c>
      <c r="L226" t="s">
        <v>20</v>
      </c>
      <c r="M226">
        <f t="shared" si="21"/>
        <v>2</v>
      </c>
      <c r="N226">
        <f t="shared" si="22"/>
        <v>7</v>
      </c>
      <c r="O226" t="str">
        <f t="shared" si="23"/>
        <v>Met</v>
      </c>
      <c r="P226" t="str">
        <f t="shared" si="24"/>
        <v>May</v>
      </c>
      <c r="Q226">
        <f t="shared" si="25"/>
        <v>2025</v>
      </c>
      <c r="R226" t="str">
        <f t="shared" si="26"/>
        <v>Closed</v>
      </c>
      <c r="S226" t="str">
        <f t="shared" si="27"/>
        <v>May</v>
      </c>
    </row>
    <row r="227" spans="1:19" x14ac:dyDescent="0.25">
      <c r="A227" t="s">
        <v>302</v>
      </c>
      <c r="B227" s="1">
        <v>45671</v>
      </c>
      <c r="C227" s="1">
        <v>45672</v>
      </c>
      <c r="D227" t="s">
        <v>45</v>
      </c>
      <c r="E227" t="s">
        <v>14</v>
      </c>
      <c r="F227" t="s">
        <v>592</v>
      </c>
      <c r="G227" t="s">
        <v>31</v>
      </c>
      <c r="H227" t="s">
        <v>79</v>
      </c>
      <c r="I227" t="s">
        <v>47</v>
      </c>
      <c r="J227" t="s">
        <v>26</v>
      </c>
      <c r="K227" t="s">
        <v>20</v>
      </c>
      <c r="L227" t="s">
        <v>20</v>
      </c>
      <c r="M227">
        <f t="shared" si="21"/>
        <v>1</v>
      </c>
      <c r="N227">
        <f t="shared" si="22"/>
        <v>5</v>
      </c>
      <c r="O227" t="str">
        <f t="shared" si="23"/>
        <v>Met</v>
      </c>
      <c r="P227" t="str">
        <f t="shared" si="24"/>
        <v>Jan</v>
      </c>
      <c r="Q227">
        <f t="shared" si="25"/>
        <v>2025</v>
      </c>
      <c r="R227" t="str">
        <f t="shared" si="26"/>
        <v>Closed</v>
      </c>
      <c r="S227" t="str">
        <f t="shared" si="27"/>
        <v>Jan</v>
      </c>
    </row>
    <row r="228" spans="1:19" x14ac:dyDescent="0.25">
      <c r="A228" t="s">
        <v>303</v>
      </c>
      <c r="B228" s="1">
        <v>45934</v>
      </c>
      <c r="C228" s="1">
        <v>45938</v>
      </c>
      <c r="D228" t="s">
        <v>49</v>
      </c>
      <c r="E228" t="s">
        <v>14</v>
      </c>
      <c r="F228" t="s">
        <v>41</v>
      </c>
      <c r="G228" t="s">
        <v>16</v>
      </c>
      <c r="H228" t="s">
        <v>92</v>
      </c>
      <c r="I228" t="s">
        <v>47</v>
      </c>
      <c r="J228" t="s">
        <v>60</v>
      </c>
      <c r="K228" t="s">
        <v>20</v>
      </c>
      <c r="L228" t="s">
        <v>20</v>
      </c>
      <c r="M228">
        <f t="shared" si="21"/>
        <v>4</v>
      </c>
      <c r="N228">
        <f t="shared" si="22"/>
        <v>3</v>
      </c>
      <c r="O228" t="str">
        <f t="shared" si="23"/>
        <v>Breached</v>
      </c>
      <c r="P228" t="str">
        <f t="shared" si="24"/>
        <v>Oct</v>
      </c>
      <c r="Q228">
        <f t="shared" si="25"/>
        <v>2025</v>
      </c>
      <c r="R228" t="str">
        <f t="shared" si="26"/>
        <v>Closed</v>
      </c>
      <c r="S228" t="str">
        <f t="shared" si="27"/>
        <v>Oct</v>
      </c>
    </row>
    <row r="229" spans="1:19" x14ac:dyDescent="0.25">
      <c r="A229" t="s">
        <v>304</v>
      </c>
      <c r="B229" s="1">
        <v>45791</v>
      </c>
      <c r="D229" t="s">
        <v>49</v>
      </c>
      <c r="E229" t="s">
        <v>58</v>
      </c>
      <c r="F229" t="s">
        <v>66</v>
      </c>
      <c r="G229" t="s">
        <v>42</v>
      </c>
      <c r="H229" t="s">
        <v>77</v>
      </c>
      <c r="I229" t="s">
        <v>47</v>
      </c>
      <c r="J229" t="s">
        <v>60</v>
      </c>
      <c r="K229" t="s">
        <v>19</v>
      </c>
      <c r="L229" t="s">
        <v>20</v>
      </c>
      <c r="M229" t="str">
        <f t="shared" si="21"/>
        <v/>
      </c>
      <c r="N229">
        <f t="shared" si="22"/>
        <v>3</v>
      </c>
      <c r="O229" t="str">
        <f t="shared" si="23"/>
        <v>Open</v>
      </c>
      <c r="P229" t="str">
        <f t="shared" si="24"/>
        <v>May</v>
      </c>
      <c r="Q229">
        <f t="shared" si="25"/>
        <v>2025</v>
      </c>
      <c r="R229" t="str">
        <f t="shared" si="26"/>
        <v>Open</v>
      </c>
      <c r="S229" t="str">
        <f t="shared" si="27"/>
        <v>Open</v>
      </c>
    </row>
    <row r="230" spans="1:19" x14ac:dyDescent="0.25">
      <c r="A230" t="s">
        <v>306</v>
      </c>
      <c r="B230" s="1">
        <v>45945</v>
      </c>
      <c r="C230" s="1">
        <v>45946</v>
      </c>
      <c r="D230" t="s">
        <v>45</v>
      </c>
      <c r="E230" t="s">
        <v>29</v>
      </c>
      <c r="F230" t="s">
        <v>50</v>
      </c>
      <c r="G230" t="s">
        <v>16</v>
      </c>
      <c r="H230" t="s">
        <v>62</v>
      </c>
      <c r="I230" t="s">
        <v>38</v>
      </c>
      <c r="J230" t="s">
        <v>34</v>
      </c>
      <c r="K230" t="s">
        <v>39</v>
      </c>
      <c r="L230" t="s">
        <v>39</v>
      </c>
      <c r="M230">
        <f t="shared" si="21"/>
        <v>1</v>
      </c>
      <c r="N230">
        <f t="shared" si="22"/>
        <v>5</v>
      </c>
      <c r="O230" t="str">
        <f t="shared" si="23"/>
        <v>Met</v>
      </c>
      <c r="P230" t="str">
        <f t="shared" si="24"/>
        <v>Oct</v>
      </c>
      <c r="Q230">
        <f t="shared" si="25"/>
        <v>2025</v>
      </c>
      <c r="R230" t="str">
        <f t="shared" si="26"/>
        <v>Closed</v>
      </c>
      <c r="S230" t="str">
        <f t="shared" si="27"/>
        <v>Oct</v>
      </c>
    </row>
    <row r="231" spans="1:19" x14ac:dyDescent="0.25">
      <c r="A231" t="s">
        <v>307</v>
      </c>
      <c r="B231" s="1">
        <v>45714</v>
      </c>
      <c r="C231" s="1">
        <v>45716</v>
      </c>
      <c r="D231" t="s">
        <v>49</v>
      </c>
      <c r="E231" t="s">
        <v>14</v>
      </c>
      <c r="F231" t="s">
        <v>36</v>
      </c>
      <c r="G231" t="s">
        <v>31</v>
      </c>
      <c r="H231" t="s">
        <v>95</v>
      </c>
      <c r="I231" t="s">
        <v>25</v>
      </c>
      <c r="J231" t="s">
        <v>18</v>
      </c>
      <c r="K231" t="s">
        <v>39</v>
      </c>
      <c r="L231" t="s">
        <v>20</v>
      </c>
      <c r="M231">
        <f t="shared" si="21"/>
        <v>2</v>
      </c>
      <c r="N231">
        <f t="shared" si="22"/>
        <v>3</v>
      </c>
      <c r="O231" t="str">
        <f t="shared" si="23"/>
        <v>Met</v>
      </c>
      <c r="P231" t="str">
        <f t="shared" si="24"/>
        <v>Feb</v>
      </c>
      <c r="Q231">
        <f t="shared" si="25"/>
        <v>2025</v>
      </c>
      <c r="R231" t="str">
        <f t="shared" si="26"/>
        <v>Closed</v>
      </c>
      <c r="S231" t="str">
        <f t="shared" si="27"/>
        <v>Feb</v>
      </c>
    </row>
    <row r="232" spans="1:19" x14ac:dyDescent="0.25">
      <c r="A232" t="s">
        <v>308</v>
      </c>
      <c r="B232" s="1">
        <v>45913</v>
      </c>
      <c r="C232" s="1">
        <v>45916</v>
      </c>
      <c r="D232" t="s">
        <v>28</v>
      </c>
      <c r="E232" t="s">
        <v>14</v>
      </c>
      <c r="F232" t="s">
        <v>66</v>
      </c>
      <c r="G232" t="s">
        <v>31</v>
      </c>
      <c r="H232" t="s">
        <v>62</v>
      </c>
      <c r="I232" t="s">
        <v>25</v>
      </c>
      <c r="J232" t="s">
        <v>34</v>
      </c>
      <c r="K232" t="s">
        <v>20</v>
      </c>
      <c r="L232" t="s">
        <v>20</v>
      </c>
      <c r="M232">
        <f t="shared" si="21"/>
        <v>3</v>
      </c>
      <c r="N232">
        <f t="shared" si="22"/>
        <v>1</v>
      </c>
      <c r="O232" t="str">
        <f t="shared" si="23"/>
        <v>Breached</v>
      </c>
      <c r="P232" t="str">
        <f t="shared" si="24"/>
        <v>Sep</v>
      </c>
      <c r="Q232">
        <f t="shared" si="25"/>
        <v>2025</v>
      </c>
      <c r="R232" t="str">
        <f t="shared" si="26"/>
        <v>Closed</v>
      </c>
      <c r="S232" t="str">
        <f t="shared" si="27"/>
        <v>Sep</v>
      </c>
    </row>
    <row r="233" spans="1:19" x14ac:dyDescent="0.25">
      <c r="A233" t="s">
        <v>309</v>
      </c>
      <c r="B233" s="1">
        <v>45675</v>
      </c>
      <c r="D233" t="s">
        <v>45</v>
      </c>
      <c r="E233" t="s">
        <v>58</v>
      </c>
      <c r="F233" t="s">
        <v>30</v>
      </c>
      <c r="G233" t="s">
        <v>55</v>
      </c>
      <c r="H233" t="s">
        <v>51</v>
      </c>
      <c r="I233" t="s">
        <v>38</v>
      </c>
      <c r="J233" t="s">
        <v>26</v>
      </c>
      <c r="K233" t="s">
        <v>39</v>
      </c>
      <c r="L233" t="s">
        <v>20</v>
      </c>
      <c r="M233" t="str">
        <f t="shared" si="21"/>
        <v/>
      </c>
      <c r="N233">
        <f t="shared" si="22"/>
        <v>5</v>
      </c>
      <c r="O233" t="str">
        <f t="shared" si="23"/>
        <v>Open</v>
      </c>
      <c r="P233" t="str">
        <f t="shared" si="24"/>
        <v>Jan</v>
      </c>
      <c r="Q233">
        <f t="shared" si="25"/>
        <v>2025</v>
      </c>
      <c r="R233" t="str">
        <f t="shared" si="26"/>
        <v>Open</v>
      </c>
      <c r="S233" t="str">
        <f t="shared" si="27"/>
        <v>Open</v>
      </c>
    </row>
    <row r="234" spans="1:19" x14ac:dyDescent="0.25">
      <c r="A234" t="s">
        <v>310</v>
      </c>
      <c r="B234" s="1">
        <v>45999</v>
      </c>
      <c r="D234" t="s">
        <v>13</v>
      </c>
      <c r="E234" t="s">
        <v>58</v>
      </c>
      <c r="F234" t="s">
        <v>15</v>
      </c>
      <c r="G234" t="s">
        <v>31</v>
      </c>
      <c r="H234" t="s">
        <v>591</v>
      </c>
      <c r="I234" t="s">
        <v>52</v>
      </c>
      <c r="J234" t="s">
        <v>34</v>
      </c>
      <c r="K234" t="s">
        <v>20</v>
      </c>
      <c r="L234" t="s">
        <v>39</v>
      </c>
      <c r="M234" t="str">
        <f t="shared" si="21"/>
        <v/>
      </c>
      <c r="N234">
        <f t="shared" si="22"/>
        <v>7</v>
      </c>
      <c r="O234" t="str">
        <f t="shared" si="23"/>
        <v>Open</v>
      </c>
      <c r="P234" t="str">
        <f t="shared" si="24"/>
        <v>Dec</v>
      </c>
      <c r="Q234">
        <f t="shared" si="25"/>
        <v>2025</v>
      </c>
      <c r="R234" t="str">
        <f t="shared" si="26"/>
        <v>Open</v>
      </c>
      <c r="S234" t="str">
        <f t="shared" si="27"/>
        <v>Open</v>
      </c>
    </row>
    <row r="235" spans="1:19" x14ac:dyDescent="0.25">
      <c r="A235" t="s">
        <v>311</v>
      </c>
      <c r="B235" s="1">
        <v>45913</v>
      </c>
      <c r="D235" t="s">
        <v>45</v>
      </c>
      <c r="E235" t="s">
        <v>76</v>
      </c>
      <c r="F235" t="s">
        <v>36</v>
      </c>
      <c r="G235" t="s">
        <v>31</v>
      </c>
      <c r="H235" t="s">
        <v>37</v>
      </c>
      <c r="I235" t="s">
        <v>47</v>
      </c>
      <c r="J235" t="s">
        <v>18</v>
      </c>
      <c r="K235" t="s">
        <v>19</v>
      </c>
      <c r="L235" t="s">
        <v>39</v>
      </c>
      <c r="M235" t="str">
        <f t="shared" si="21"/>
        <v/>
      </c>
      <c r="N235">
        <f t="shared" si="22"/>
        <v>5</v>
      </c>
      <c r="O235" t="str">
        <f t="shared" si="23"/>
        <v>Open</v>
      </c>
      <c r="P235" t="str">
        <f t="shared" si="24"/>
        <v>Sep</v>
      </c>
      <c r="Q235">
        <f t="shared" si="25"/>
        <v>2025</v>
      </c>
      <c r="R235" t="str">
        <f t="shared" si="26"/>
        <v>Open</v>
      </c>
      <c r="S235" t="str">
        <f t="shared" si="27"/>
        <v>Open</v>
      </c>
    </row>
    <row r="236" spans="1:19" x14ac:dyDescent="0.25">
      <c r="A236" t="s">
        <v>312</v>
      </c>
      <c r="B236" s="1">
        <v>45851</v>
      </c>
      <c r="C236" s="1">
        <v>45853</v>
      </c>
      <c r="D236" t="s">
        <v>49</v>
      </c>
      <c r="E236" t="s">
        <v>29</v>
      </c>
      <c r="F236" t="s">
        <v>41</v>
      </c>
      <c r="G236" t="s">
        <v>23</v>
      </c>
      <c r="H236" t="s">
        <v>136</v>
      </c>
      <c r="I236" t="s">
        <v>25</v>
      </c>
      <c r="J236" t="s">
        <v>34</v>
      </c>
      <c r="K236" t="s">
        <v>20</v>
      </c>
      <c r="L236" t="s">
        <v>20</v>
      </c>
      <c r="M236">
        <f t="shared" si="21"/>
        <v>2</v>
      </c>
      <c r="N236">
        <f t="shared" si="22"/>
        <v>3</v>
      </c>
      <c r="O236" t="str">
        <f t="shared" si="23"/>
        <v>Met</v>
      </c>
      <c r="P236" t="str">
        <f t="shared" si="24"/>
        <v>Jul</v>
      </c>
      <c r="Q236">
        <f t="shared" si="25"/>
        <v>2025</v>
      </c>
      <c r="R236" t="str">
        <f t="shared" si="26"/>
        <v>Closed</v>
      </c>
      <c r="S236" t="str">
        <f t="shared" si="27"/>
        <v>Jul</v>
      </c>
    </row>
    <row r="237" spans="1:19" x14ac:dyDescent="0.25">
      <c r="A237" t="s">
        <v>313</v>
      </c>
      <c r="B237" s="1">
        <v>45935</v>
      </c>
      <c r="C237" s="1">
        <v>45939</v>
      </c>
      <c r="D237" t="s">
        <v>13</v>
      </c>
      <c r="E237" t="s">
        <v>29</v>
      </c>
      <c r="F237" t="s">
        <v>22</v>
      </c>
      <c r="G237" t="s">
        <v>16</v>
      </c>
      <c r="H237" t="s">
        <v>32</v>
      </c>
      <c r="I237" t="s">
        <v>47</v>
      </c>
      <c r="J237" t="s">
        <v>34</v>
      </c>
      <c r="K237" t="s">
        <v>19</v>
      </c>
      <c r="L237" t="s">
        <v>20</v>
      </c>
      <c r="M237">
        <f t="shared" si="21"/>
        <v>4</v>
      </c>
      <c r="N237">
        <f t="shared" si="22"/>
        <v>7</v>
      </c>
      <c r="O237" t="str">
        <f t="shared" si="23"/>
        <v>Met</v>
      </c>
      <c r="P237" t="str">
        <f t="shared" si="24"/>
        <v>Oct</v>
      </c>
      <c r="Q237">
        <f t="shared" si="25"/>
        <v>2025</v>
      </c>
      <c r="R237" t="str">
        <f t="shared" si="26"/>
        <v>Closed</v>
      </c>
      <c r="S237" t="str">
        <f t="shared" si="27"/>
        <v>Oct</v>
      </c>
    </row>
    <row r="238" spans="1:19" x14ac:dyDescent="0.25">
      <c r="A238" t="s">
        <v>314</v>
      </c>
      <c r="B238" s="1">
        <v>45986</v>
      </c>
      <c r="C238" s="1">
        <v>45994</v>
      </c>
      <c r="D238" t="s">
        <v>45</v>
      </c>
      <c r="E238" t="s">
        <v>29</v>
      </c>
      <c r="F238" t="s">
        <v>36</v>
      </c>
      <c r="G238" t="s">
        <v>42</v>
      </c>
      <c r="H238" t="s">
        <v>128</v>
      </c>
      <c r="I238" t="s">
        <v>25</v>
      </c>
      <c r="J238" t="s">
        <v>26</v>
      </c>
      <c r="K238" t="s">
        <v>39</v>
      </c>
      <c r="L238" t="s">
        <v>19</v>
      </c>
      <c r="M238">
        <f t="shared" si="21"/>
        <v>8</v>
      </c>
      <c r="N238">
        <f t="shared" si="22"/>
        <v>5</v>
      </c>
      <c r="O238" t="str">
        <f t="shared" si="23"/>
        <v>Breached</v>
      </c>
      <c r="P238" t="str">
        <f t="shared" si="24"/>
        <v>Nov</v>
      </c>
      <c r="Q238">
        <f t="shared" si="25"/>
        <v>2025</v>
      </c>
      <c r="R238" t="str">
        <f t="shared" si="26"/>
        <v>Closed</v>
      </c>
      <c r="S238" t="str">
        <f t="shared" si="27"/>
        <v>Dec</v>
      </c>
    </row>
    <row r="239" spans="1:19" x14ac:dyDescent="0.25">
      <c r="A239" t="s">
        <v>315</v>
      </c>
      <c r="B239" s="1">
        <v>45664</v>
      </c>
      <c r="C239" s="1">
        <v>45665</v>
      </c>
      <c r="D239" t="s">
        <v>28</v>
      </c>
      <c r="E239" t="s">
        <v>14</v>
      </c>
      <c r="F239" t="s">
        <v>36</v>
      </c>
      <c r="G239" t="s">
        <v>55</v>
      </c>
      <c r="H239" t="s">
        <v>62</v>
      </c>
      <c r="I239" t="s">
        <v>47</v>
      </c>
      <c r="J239" t="s">
        <v>26</v>
      </c>
      <c r="K239" t="s">
        <v>39</v>
      </c>
      <c r="L239" t="s">
        <v>39</v>
      </c>
      <c r="M239">
        <f t="shared" si="21"/>
        <v>1</v>
      </c>
      <c r="N239">
        <f t="shared" si="22"/>
        <v>1</v>
      </c>
      <c r="O239" t="str">
        <f t="shared" si="23"/>
        <v>Met</v>
      </c>
      <c r="P239" t="str">
        <f t="shared" si="24"/>
        <v>Jan</v>
      </c>
      <c r="Q239">
        <f t="shared" si="25"/>
        <v>2025</v>
      </c>
      <c r="R239" t="str">
        <f t="shared" si="26"/>
        <v>Closed</v>
      </c>
      <c r="S239" t="str">
        <f t="shared" si="27"/>
        <v>Jan</v>
      </c>
    </row>
    <row r="240" spans="1:19" x14ac:dyDescent="0.25">
      <c r="A240" t="s">
        <v>316</v>
      </c>
      <c r="B240" s="1">
        <v>45707</v>
      </c>
      <c r="D240" t="s">
        <v>45</v>
      </c>
      <c r="E240" t="s">
        <v>76</v>
      </c>
      <c r="F240" t="s">
        <v>30</v>
      </c>
      <c r="G240" t="s">
        <v>16</v>
      </c>
      <c r="H240" t="s">
        <v>46</v>
      </c>
      <c r="I240" t="s">
        <v>52</v>
      </c>
      <c r="J240" t="s">
        <v>18</v>
      </c>
      <c r="K240" t="s">
        <v>19</v>
      </c>
      <c r="L240" t="s">
        <v>19</v>
      </c>
      <c r="M240" t="str">
        <f t="shared" si="21"/>
        <v/>
      </c>
      <c r="N240">
        <f t="shared" si="22"/>
        <v>5</v>
      </c>
      <c r="O240" t="str">
        <f t="shared" si="23"/>
        <v>Open</v>
      </c>
      <c r="P240" t="str">
        <f t="shared" si="24"/>
        <v>Feb</v>
      </c>
      <c r="Q240">
        <f t="shared" si="25"/>
        <v>2025</v>
      </c>
      <c r="R240" t="str">
        <f t="shared" si="26"/>
        <v>Open</v>
      </c>
      <c r="S240" t="str">
        <f t="shared" si="27"/>
        <v>Open</v>
      </c>
    </row>
    <row r="241" spans="1:19" x14ac:dyDescent="0.25">
      <c r="A241" t="s">
        <v>317</v>
      </c>
      <c r="B241" s="1">
        <v>45711</v>
      </c>
      <c r="D241" t="s">
        <v>13</v>
      </c>
      <c r="E241" t="s">
        <v>58</v>
      </c>
      <c r="F241" t="s">
        <v>22</v>
      </c>
      <c r="G241" t="s">
        <v>23</v>
      </c>
      <c r="H241" t="s">
        <v>37</v>
      </c>
      <c r="I241" t="s">
        <v>47</v>
      </c>
      <c r="J241" t="s">
        <v>18</v>
      </c>
      <c r="K241" t="s">
        <v>19</v>
      </c>
      <c r="L241" t="s">
        <v>20</v>
      </c>
      <c r="M241" t="str">
        <f t="shared" si="21"/>
        <v/>
      </c>
      <c r="N241">
        <f t="shared" si="22"/>
        <v>7</v>
      </c>
      <c r="O241" t="str">
        <f t="shared" si="23"/>
        <v>Open</v>
      </c>
      <c r="P241" t="str">
        <f t="shared" si="24"/>
        <v>Feb</v>
      </c>
      <c r="Q241">
        <f t="shared" si="25"/>
        <v>2025</v>
      </c>
      <c r="R241" t="str">
        <f t="shared" si="26"/>
        <v>Open</v>
      </c>
      <c r="S241" t="str">
        <f t="shared" si="27"/>
        <v>Open</v>
      </c>
    </row>
    <row r="242" spans="1:19" x14ac:dyDescent="0.25">
      <c r="A242" t="s">
        <v>318</v>
      </c>
      <c r="B242" s="1">
        <v>45946</v>
      </c>
      <c r="C242" s="1">
        <v>45947</v>
      </c>
      <c r="D242" t="s">
        <v>49</v>
      </c>
      <c r="E242" t="s">
        <v>29</v>
      </c>
      <c r="F242" t="s">
        <v>41</v>
      </c>
      <c r="G242" t="s">
        <v>55</v>
      </c>
      <c r="H242" t="s">
        <v>106</v>
      </c>
      <c r="I242" t="s">
        <v>17</v>
      </c>
      <c r="J242" t="s">
        <v>26</v>
      </c>
      <c r="K242" t="s">
        <v>39</v>
      </c>
      <c r="L242" t="s">
        <v>19</v>
      </c>
      <c r="M242">
        <f t="shared" si="21"/>
        <v>1</v>
      </c>
      <c r="N242">
        <f t="shared" si="22"/>
        <v>3</v>
      </c>
      <c r="O242" t="str">
        <f t="shared" si="23"/>
        <v>Met</v>
      </c>
      <c r="P242" t="str">
        <f t="shared" si="24"/>
        <v>Oct</v>
      </c>
      <c r="Q242">
        <f t="shared" si="25"/>
        <v>2025</v>
      </c>
      <c r="R242" t="str">
        <f t="shared" si="26"/>
        <v>Closed</v>
      </c>
      <c r="S242" t="str">
        <f t="shared" si="27"/>
        <v>Oct</v>
      </c>
    </row>
    <row r="243" spans="1:19" x14ac:dyDescent="0.25">
      <c r="A243" t="s">
        <v>319</v>
      </c>
      <c r="B243" s="1">
        <v>45941</v>
      </c>
      <c r="C243" s="1">
        <v>45943</v>
      </c>
      <c r="D243" t="s">
        <v>49</v>
      </c>
      <c r="E243" t="s">
        <v>29</v>
      </c>
      <c r="F243" t="s">
        <v>30</v>
      </c>
      <c r="G243" t="s">
        <v>31</v>
      </c>
      <c r="H243" t="s">
        <v>37</v>
      </c>
      <c r="I243" t="s">
        <v>38</v>
      </c>
      <c r="J243" t="s">
        <v>60</v>
      </c>
      <c r="K243" t="s">
        <v>19</v>
      </c>
      <c r="L243" t="s">
        <v>19</v>
      </c>
      <c r="M243">
        <f t="shared" si="21"/>
        <v>2</v>
      </c>
      <c r="N243">
        <f t="shared" si="22"/>
        <v>3</v>
      </c>
      <c r="O243" t="str">
        <f t="shared" si="23"/>
        <v>Met</v>
      </c>
      <c r="P243" t="str">
        <f t="shared" si="24"/>
        <v>Oct</v>
      </c>
      <c r="Q243">
        <f t="shared" si="25"/>
        <v>2025</v>
      </c>
      <c r="R243" t="str">
        <f t="shared" si="26"/>
        <v>Closed</v>
      </c>
      <c r="S243" t="str">
        <f t="shared" si="27"/>
        <v>Oct</v>
      </c>
    </row>
    <row r="244" spans="1:19" x14ac:dyDescent="0.25">
      <c r="A244" t="s">
        <v>320</v>
      </c>
      <c r="B244" s="1">
        <v>45953</v>
      </c>
      <c r="C244" s="1">
        <v>45954</v>
      </c>
      <c r="D244" t="s">
        <v>28</v>
      </c>
      <c r="E244" t="s">
        <v>29</v>
      </c>
      <c r="F244" t="s">
        <v>15</v>
      </c>
      <c r="G244" t="s">
        <v>55</v>
      </c>
      <c r="H244" t="s">
        <v>43</v>
      </c>
      <c r="I244" t="s">
        <v>69</v>
      </c>
      <c r="J244" t="s">
        <v>34</v>
      </c>
      <c r="K244" t="s">
        <v>20</v>
      </c>
      <c r="L244" t="s">
        <v>19</v>
      </c>
      <c r="M244">
        <f t="shared" si="21"/>
        <v>1</v>
      </c>
      <c r="N244">
        <f t="shared" si="22"/>
        <v>1</v>
      </c>
      <c r="O244" t="str">
        <f t="shared" si="23"/>
        <v>Met</v>
      </c>
      <c r="P244" t="str">
        <f t="shared" si="24"/>
        <v>Oct</v>
      </c>
      <c r="Q244">
        <f t="shared" si="25"/>
        <v>2025</v>
      </c>
      <c r="R244" t="str">
        <f t="shared" si="26"/>
        <v>Closed</v>
      </c>
      <c r="S244" t="str">
        <f t="shared" si="27"/>
        <v>Oct</v>
      </c>
    </row>
    <row r="245" spans="1:19" x14ac:dyDescent="0.25">
      <c r="A245" t="s">
        <v>321</v>
      </c>
      <c r="B245" s="1">
        <v>45736</v>
      </c>
      <c r="D245" t="s">
        <v>28</v>
      </c>
      <c r="E245" t="s">
        <v>76</v>
      </c>
      <c r="F245" t="s">
        <v>41</v>
      </c>
      <c r="G245" t="s">
        <v>42</v>
      </c>
      <c r="H245" t="s">
        <v>37</v>
      </c>
      <c r="I245" t="s">
        <v>33</v>
      </c>
      <c r="J245" t="s">
        <v>18</v>
      </c>
      <c r="K245" t="s">
        <v>20</v>
      </c>
      <c r="L245" t="s">
        <v>39</v>
      </c>
      <c r="M245" t="str">
        <f t="shared" si="21"/>
        <v/>
      </c>
      <c r="N245">
        <f t="shared" si="22"/>
        <v>1</v>
      </c>
      <c r="O245" t="str">
        <f t="shared" si="23"/>
        <v>Open</v>
      </c>
      <c r="P245" t="str">
        <f t="shared" si="24"/>
        <v>Mar</v>
      </c>
      <c r="Q245">
        <f t="shared" si="25"/>
        <v>2025</v>
      </c>
      <c r="R245" t="str">
        <f t="shared" si="26"/>
        <v>Open</v>
      </c>
      <c r="S245" t="str">
        <f t="shared" si="27"/>
        <v>Open</v>
      </c>
    </row>
    <row r="246" spans="1:19" x14ac:dyDescent="0.25">
      <c r="A246" t="s">
        <v>322</v>
      </c>
      <c r="B246" s="1">
        <v>45880</v>
      </c>
      <c r="C246" s="1">
        <v>45880</v>
      </c>
      <c r="D246" t="s">
        <v>28</v>
      </c>
      <c r="E246" t="s">
        <v>14</v>
      </c>
      <c r="F246" t="s">
        <v>30</v>
      </c>
      <c r="G246" t="s">
        <v>23</v>
      </c>
      <c r="H246" t="s">
        <v>37</v>
      </c>
      <c r="I246" t="s">
        <v>25</v>
      </c>
      <c r="J246" t="s">
        <v>18</v>
      </c>
      <c r="K246" t="s">
        <v>20</v>
      </c>
      <c r="L246" t="s">
        <v>20</v>
      </c>
      <c r="M246">
        <f t="shared" si="21"/>
        <v>0</v>
      </c>
      <c r="N246">
        <f t="shared" si="22"/>
        <v>1</v>
      </c>
      <c r="O246" t="str">
        <f t="shared" si="23"/>
        <v>Met</v>
      </c>
      <c r="P246" t="str">
        <f t="shared" si="24"/>
        <v>Aug</v>
      </c>
      <c r="Q246">
        <f t="shared" si="25"/>
        <v>2025</v>
      </c>
      <c r="R246" t="str">
        <f t="shared" si="26"/>
        <v>Closed</v>
      </c>
      <c r="S246" t="str">
        <f t="shared" si="27"/>
        <v>Aug</v>
      </c>
    </row>
    <row r="247" spans="1:19" x14ac:dyDescent="0.25">
      <c r="A247" t="s">
        <v>323</v>
      </c>
      <c r="B247" s="1">
        <v>45822</v>
      </c>
      <c r="C247" s="1">
        <v>45822</v>
      </c>
      <c r="D247" t="s">
        <v>28</v>
      </c>
      <c r="E247" t="s">
        <v>29</v>
      </c>
      <c r="F247" t="s">
        <v>41</v>
      </c>
      <c r="G247" t="s">
        <v>23</v>
      </c>
      <c r="H247" t="s">
        <v>56</v>
      </c>
      <c r="I247" t="s">
        <v>17</v>
      </c>
      <c r="J247" t="s">
        <v>34</v>
      </c>
      <c r="K247" t="s">
        <v>20</v>
      </c>
      <c r="L247" t="s">
        <v>39</v>
      </c>
      <c r="M247">
        <f t="shared" si="21"/>
        <v>0</v>
      </c>
      <c r="N247">
        <f t="shared" si="22"/>
        <v>1</v>
      </c>
      <c r="O247" t="str">
        <f t="shared" si="23"/>
        <v>Met</v>
      </c>
      <c r="P247" t="str">
        <f t="shared" si="24"/>
        <v>Jun</v>
      </c>
      <c r="Q247">
        <f t="shared" si="25"/>
        <v>2025</v>
      </c>
      <c r="R247" t="str">
        <f t="shared" si="26"/>
        <v>Closed</v>
      </c>
      <c r="S247" t="str">
        <f t="shared" si="27"/>
        <v>Jun</v>
      </c>
    </row>
    <row r="248" spans="1:19" x14ac:dyDescent="0.25">
      <c r="A248" t="s">
        <v>324</v>
      </c>
      <c r="B248" s="1">
        <v>45714</v>
      </c>
      <c r="C248" s="1">
        <v>45715</v>
      </c>
      <c r="D248" t="s">
        <v>49</v>
      </c>
      <c r="E248" t="s">
        <v>29</v>
      </c>
      <c r="F248" t="s">
        <v>50</v>
      </c>
      <c r="G248" t="s">
        <v>55</v>
      </c>
      <c r="H248" t="s">
        <v>128</v>
      </c>
      <c r="I248" t="s">
        <v>25</v>
      </c>
      <c r="J248" t="s">
        <v>26</v>
      </c>
      <c r="K248" t="s">
        <v>39</v>
      </c>
      <c r="L248" t="s">
        <v>19</v>
      </c>
      <c r="M248">
        <f t="shared" si="21"/>
        <v>1</v>
      </c>
      <c r="N248">
        <f t="shared" si="22"/>
        <v>3</v>
      </c>
      <c r="O248" t="str">
        <f t="shared" si="23"/>
        <v>Met</v>
      </c>
      <c r="P248" t="str">
        <f t="shared" si="24"/>
        <v>Feb</v>
      </c>
      <c r="Q248">
        <f t="shared" si="25"/>
        <v>2025</v>
      </c>
      <c r="R248" t="str">
        <f t="shared" si="26"/>
        <v>Closed</v>
      </c>
      <c r="S248" t="str">
        <f t="shared" si="27"/>
        <v>Feb</v>
      </c>
    </row>
    <row r="249" spans="1:19" x14ac:dyDescent="0.25">
      <c r="A249" t="s">
        <v>325</v>
      </c>
      <c r="B249" s="1">
        <v>45685</v>
      </c>
      <c r="C249" s="1">
        <v>45685</v>
      </c>
      <c r="D249" t="s">
        <v>28</v>
      </c>
      <c r="E249" t="s">
        <v>29</v>
      </c>
      <c r="F249" t="s">
        <v>22</v>
      </c>
      <c r="G249" t="s">
        <v>31</v>
      </c>
      <c r="H249" t="s">
        <v>128</v>
      </c>
      <c r="I249" t="s">
        <v>69</v>
      </c>
      <c r="J249" t="s">
        <v>18</v>
      </c>
      <c r="K249" t="s">
        <v>19</v>
      </c>
      <c r="L249" t="s">
        <v>19</v>
      </c>
      <c r="M249">
        <f t="shared" si="21"/>
        <v>0</v>
      </c>
      <c r="N249">
        <f t="shared" si="22"/>
        <v>1</v>
      </c>
      <c r="O249" t="str">
        <f t="shared" si="23"/>
        <v>Met</v>
      </c>
      <c r="P249" t="str">
        <f t="shared" si="24"/>
        <v>Jan</v>
      </c>
      <c r="Q249">
        <f t="shared" si="25"/>
        <v>2025</v>
      </c>
      <c r="R249" t="str">
        <f t="shared" si="26"/>
        <v>Closed</v>
      </c>
      <c r="S249" t="str">
        <f t="shared" si="27"/>
        <v>Jan</v>
      </c>
    </row>
    <row r="250" spans="1:19" x14ac:dyDescent="0.25">
      <c r="A250" t="s">
        <v>326</v>
      </c>
      <c r="B250" s="1">
        <v>45759</v>
      </c>
      <c r="C250" s="1">
        <v>45767</v>
      </c>
      <c r="D250" t="s">
        <v>45</v>
      </c>
      <c r="E250" t="s">
        <v>29</v>
      </c>
      <c r="F250" t="s">
        <v>50</v>
      </c>
      <c r="G250" t="s">
        <v>23</v>
      </c>
      <c r="H250" t="s">
        <v>106</v>
      </c>
      <c r="I250" t="s">
        <v>47</v>
      </c>
      <c r="J250" t="s">
        <v>60</v>
      </c>
      <c r="K250" t="s">
        <v>19</v>
      </c>
      <c r="L250" t="s">
        <v>20</v>
      </c>
      <c r="M250">
        <f t="shared" si="21"/>
        <v>8</v>
      </c>
      <c r="N250">
        <f t="shared" si="22"/>
        <v>5</v>
      </c>
      <c r="O250" t="str">
        <f t="shared" si="23"/>
        <v>Breached</v>
      </c>
      <c r="P250" t="str">
        <f t="shared" si="24"/>
        <v>Apr</v>
      </c>
      <c r="Q250">
        <f t="shared" si="25"/>
        <v>2025</v>
      </c>
      <c r="R250" t="str">
        <f t="shared" si="26"/>
        <v>Closed</v>
      </c>
      <c r="S250" t="str">
        <f t="shared" si="27"/>
        <v>Apr</v>
      </c>
    </row>
    <row r="251" spans="1:19" x14ac:dyDescent="0.25">
      <c r="A251" t="s">
        <v>327</v>
      </c>
      <c r="B251" s="1">
        <v>45673</v>
      </c>
      <c r="C251" s="1">
        <v>45676</v>
      </c>
      <c r="D251" t="s">
        <v>45</v>
      </c>
      <c r="E251" t="s">
        <v>14</v>
      </c>
      <c r="F251" t="s">
        <v>592</v>
      </c>
      <c r="G251" t="s">
        <v>42</v>
      </c>
      <c r="H251" t="s">
        <v>110</v>
      </c>
      <c r="I251" t="s">
        <v>33</v>
      </c>
      <c r="J251" t="s">
        <v>26</v>
      </c>
      <c r="K251" t="s">
        <v>20</v>
      </c>
      <c r="L251" t="s">
        <v>19</v>
      </c>
      <c r="M251">
        <f t="shared" si="21"/>
        <v>3</v>
      </c>
      <c r="N251">
        <f t="shared" si="22"/>
        <v>5</v>
      </c>
      <c r="O251" t="str">
        <f t="shared" si="23"/>
        <v>Met</v>
      </c>
      <c r="P251" t="str">
        <f t="shared" si="24"/>
        <v>Jan</v>
      </c>
      <c r="Q251">
        <f t="shared" si="25"/>
        <v>2025</v>
      </c>
      <c r="R251" t="str">
        <f t="shared" si="26"/>
        <v>Closed</v>
      </c>
      <c r="S251" t="str">
        <f t="shared" si="27"/>
        <v>Jan</v>
      </c>
    </row>
    <row r="252" spans="1:19" x14ac:dyDescent="0.25">
      <c r="A252" t="s">
        <v>328</v>
      </c>
      <c r="B252" s="1">
        <v>45992</v>
      </c>
      <c r="D252" t="s">
        <v>45</v>
      </c>
      <c r="E252" t="s">
        <v>58</v>
      </c>
      <c r="F252" t="s">
        <v>66</v>
      </c>
      <c r="G252" t="s">
        <v>31</v>
      </c>
      <c r="H252" t="s">
        <v>134</v>
      </c>
      <c r="I252" t="s">
        <v>25</v>
      </c>
      <c r="J252" t="s">
        <v>60</v>
      </c>
      <c r="K252" t="s">
        <v>39</v>
      </c>
      <c r="L252" t="s">
        <v>20</v>
      </c>
      <c r="M252" t="str">
        <f t="shared" si="21"/>
        <v/>
      </c>
      <c r="N252">
        <f t="shared" si="22"/>
        <v>5</v>
      </c>
      <c r="O252" t="str">
        <f t="shared" si="23"/>
        <v>Open</v>
      </c>
      <c r="P252" t="str">
        <f t="shared" si="24"/>
        <v>Dec</v>
      </c>
      <c r="Q252">
        <f t="shared" si="25"/>
        <v>2025</v>
      </c>
      <c r="R252" t="str">
        <f t="shared" si="26"/>
        <v>Open</v>
      </c>
      <c r="S252" t="str">
        <f t="shared" si="27"/>
        <v>Open</v>
      </c>
    </row>
    <row r="253" spans="1:19" x14ac:dyDescent="0.25">
      <c r="A253" t="s">
        <v>328</v>
      </c>
      <c r="B253" s="1">
        <v>45720</v>
      </c>
      <c r="C253" s="1">
        <v>45726</v>
      </c>
      <c r="D253" t="s">
        <v>13</v>
      </c>
      <c r="E253" t="s">
        <v>29</v>
      </c>
      <c r="F253" t="s">
        <v>15</v>
      </c>
      <c r="G253" t="s">
        <v>23</v>
      </c>
      <c r="H253" t="s">
        <v>79</v>
      </c>
      <c r="I253" t="s">
        <v>52</v>
      </c>
      <c r="J253" t="s">
        <v>34</v>
      </c>
      <c r="K253" t="s">
        <v>20</v>
      </c>
      <c r="L253" t="s">
        <v>19</v>
      </c>
      <c r="M253">
        <f t="shared" si="21"/>
        <v>6</v>
      </c>
      <c r="N253">
        <f t="shared" si="22"/>
        <v>7</v>
      </c>
      <c r="O253" t="str">
        <f t="shared" si="23"/>
        <v>Met</v>
      </c>
      <c r="P253" t="str">
        <f t="shared" si="24"/>
        <v>Mar</v>
      </c>
      <c r="Q253">
        <f t="shared" si="25"/>
        <v>2025</v>
      </c>
      <c r="R253" t="str">
        <f t="shared" si="26"/>
        <v>Closed</v>
      </c>
      <c r="S253" t="str">
        <f t="shared" si="27"/>
        <v>Mar</v>
      </c>
    </row>
    <row r="254" spans="1:19" x14ac:dyDescent="0.25">
      <c r="A254" t="s">
        <v>329</v>
      </c>
      <c r="B254" s="1">
        <v>45732</v>
      </c>
      <c r="C254" s="1">
        <v>45732</v>
      </c>
      <c r="D254" t="s">
        <v>49</v>
      </c>
      <c r="E254" t="s">
        <v>14</v>
      </c>
      <c r="F254" t="s">
        <v>50</v>
      </c>
      <c r="G254" t="s">
        <v>591</v>
      </c>
      <c r="H254" t="s">
        <v>136</v>
      </c>
      <c r="I254" t="s">
        <v>33</v>
      </c>
      <c r="J254" t="s">
        <v>34</v>
      </c>
      <c r="K254" t="s">
        <v>39</v>
      </c>
      <c r="L254" t="s">
        <v>19</v>
      </c>
      <c r="M254">
        <f t="shared" si="21"/>
        <v>0</v>
      </c>
      <c r="N254">
        <f t="shared" si="22"/>
        <v>3</v>
      </c>
      <c r="O254" t="str">
        <f t="shared" si="23"/>
        <v>Met</v>
      </c>
      <c r="P254" t="str">
        <f t="shared" si="24"/>
        <v>Mar</v>
      </c>
      <c r="Q254">
        <f t="shared" si="25"/>
        <v>2025</v>
      </c>
      <c r="R254" t="str">
        <f t="shared" si="26"/>
        <v>Closed</v>
      </c>
      <c r="S254" t="str">
        <f t="shared" si="27"/>
        <v>Mar</v>
      </c>
    </row>
    <row r="255" spans="1:19" x14ac:dyDescent="0.25">
      <c r="A255" t="s">
        <v>330</v>
      </c>
      <c r="B255" s="1">
        <v>45698</v>
      </c>
      <c r="C255" s="1">
        <v>45705</v>
      </c>
      <c r="D255" t="s">
        <v>13</v>
      </c>
      <c r="E255" t="s">
        <v>14</v>
      </c>
      <c r="F255" t="s">
        <v>66</v>
      </c>
      <c r="G255" t="s">
        <v>55</v>
      </c>
      <c r="H255" t="s">
        <v>95</v>
      </c>
      <c r="I255" t="s">
        <v>17</v>
      </c>
      <c r="J255" t="s">
        <v>34</v>
      </c>
      <c r="K255" t="s">
        <v>39</v>
      </c>
      <c r="L255" t="s">
        <v>39</v>
      </c>
      <c r="M255">
        <f t="shared" si="21"/>
        <v>7</v>
      </c>
      <c r="N255">
        <f t="shared" si="22"/>
        <v>7</v>
      </c>
      <c r="O255" t="str">
        <f t="shared" si="23"/>
        <v>Met</v>
      </c>
      <c r="P255" t="str">
        <f t="shared" si="24"/>
        <v>Feb</v>
      </c>
      <c r="Q255">
        <f t="shared" si="25"/>
        <v>2025</v>
      </c>
      <c r="R255" t="str">
        <f t="shared" si="26"/>
        <v>Closed</v>
      </c>
      <c r="S255" t="str">
        <f t="shared" si="27"/>
        <v>Feb</v>
      </c>
    </row>
    <row r="256" spans="1:19" x14ac:dyDescent="0.25">
      <c r="A256" t="s">
        <v>331</v>
      </c>
      <c r="B256" s="1">
        <v>45882</v>
      </c>
      <c r="C256" s="1">
        <v>45883</v>
      </c>
      <c r="D256" t="s">
        <v>28</v>
      </c>
      <c r="E256" t="s">
        <v>14</v>
      </c>
      <c r="F256" t="s">
        <v>36</v>
      </c>
      <c r="G256" t="s">
        <v>16</v>
      </c>
      <c r="H256" t="s">
        <v>128</v>
      </c>
      <c r="I256" t="s">
        <v>33</v>
      </c>
      <c r="J256" t="s">
        <v>60</v>
      </c>
      <c r="K256" t="s">
        <v>20</v>
      </c>
      <c r="L256" t="s">
        <v>20</v>
      </c>
      <c r="M256">
        <f t="shared" si="21"/>
        <v>1</v>
      </c>
      <c r="N256">
        <f t="shared" si="22"/>
        <v>1</v>
      </c>
      <c r="O256" t="str">
        <f t="shared" si="23"/>
        <v>Met</v>
      </c>
      <c r="P256" t="str">
        <f t="shared" si="24"/>
        <v>Aug</v>
      </c>
      <c r="Q256">
        <f t="shared" si="25"/>
        <v>2025</v>
      </c>
      <c r="R256" t="str">
        <f t="shared" si="26"/>
        <v>Closed</v>
      </c>
      <c r="S256" t="str">
        <f t="shared" si="27"/>
        <v>Aug</v>
      </c>
    </row>
    <row r="257" spans="1:19" x14ac:dyDescent="0.25">
      <c r="A257" t="s">
        <v>332</v>
      </c>
      <c r="B257" s="1">
        <v>45679</v>
      </c>
      <c r="C257" s="1">
        <v>45680</v>
      </c>
      <c r="D257" t="s">
        <v>28</v>
      </c>
      <c r="E257" t="s">
        <v>14</v>
      </c>
      <c r="F257" t="s">
        <v>36</v>
      </c>
      <c r="G257" t="s">
        <v>23</v>
      </c>
      <c r="H257" t="s">
        <v>77</v>
      </c>
      <c r="I257" t="s">
        <v>52</v>
      </c>
      <c r="J257" t="s">
        <v>34</v>
      </c>
      <c r="K257" t="s">
        <v>20</v>
      </c>
      <c r="L257" t="s">
        <v>19</v>
      </c>
      <c r="M257">
        <f t="shared" si="21"/>
        <v>1</v>
      </c>
      <c r="N257">
        <f t="shared" si="22"/>
        <v>1</v>
      </c>
      <c r="O257" t="str">
        <f t="shared" si="23"/>
        <v>Met</v>
      </c>
      <c r="P257" t="str">
        <f t="shared" si="24"/>
        <v>Jan</v>
      </c>
      <c r="Q257">
        <f t="shared" si="25"/>
        <v>2025</v>
      </c>
      <c r="R257" t="str">
        <f t="shared" si="26"/>
        <v>Closed</v>
      </c>
      <c r="S257" t="str">
        <f t="shared" si="27"/>
        <v>Jan</v>
      </c>
    </row>
    <row r="258" spans="1:19" x14ac:dyDescent="0.25">
      <c r="A258" t="s">
        <v>333</v>
      </c>
      <c r="B258" s="1">
        <v>45914</v>
      </c>
      <c r="D258" t="s">
        <v>49</v>
      </c>
      <c r="E258" t="s">
        <v>76</v>
      </c>
      <c r="F258" t="s">
        <v>66</v>
      </c>
      <c r="G258" t="s">
        <v>31</v>
      </c>
      <c r="H258" t="s">
        <v>56</v>
      </c>
      <c r="I258" t="s">
        <v>52</v>
      </c>
      <c r="J258" t="s">
        <v>60</v>
      </c>
      <c r="K258" t="s">
        <v>39</v>
      </c>
      <c r="L258" t="s">
        <v>39</v>
      </c>
      <c r="M258" t="str">
        <f t="shared" ref="M258:M321" si="28">IF(C258="","",C258-B258)</f>
        <v/>
      </c>
      <c r="N258">
        <f t="shared" ref="N258:N321" si="29">IF(D258="P1",1,
IF(D258="P2",3,
IF(D258="P3",5,7)))</f>
        <v>3</v>
      </c>
      <c r="O258" t="str">
        <f t="shared" ref="O258:O321" si="30">IF(C258="","Open",
IF(M258&lt;=N258, "Met", "Breached"))</f>
        <v>Open</v>
      </c>
      <c r="P258" t="str">
        <f t="shared" ref="P258:P321" si="31">TEXT(B258,"mmm")</f>
        <v>Sep</v>
      </c>
      <c r="Q258">
        <f t="shared" ref="Q258:Q321" si="32">YEAR(B258)</f>
        <v>2025</v>
      </c>
      <c r="R258" t="str">
        <f t="shared" ref="R258:R321" si="33">IF(C258="","Open","Closed")</f>
        <v>Open</v>
      </c>
      <c r="S258" t="str">
        <f t="shared" ref="S258:S321" si="34">IF(C258="","Open",TEXT(C258,"mmm"))</f>
        <v>Open</v>
      </c>
    </row>
    <row r="259" spans="1:19" x14ac:dyDescent="0.25">
      <c r="A259" t="s">
        <v>334</v>
      </c>
      <c r="B259" s="1">
        <v>45982</v>
      </c>
      <c r="C259" s="1">
        <v>45983</v>
      </c>
      <c r="D259" t="s">
        <v>28</v>
      </c>
      <c r="E259" t="s">
        <v>29</v>
      </c>
      <c r="F259" t="s">
        <v>592</v>
      </c>
      <c r="G259" t="s">
        <v>31</v>
      </c>
      <c r="H259" t="s">
        <v>110</v>
      </c>
      <c r="I259" t="s">
        <v>38</v>
      </c>
      <c r="J259" t="s">
        <v>26</v>
      </c>
      <c r="K259" t="s">
        <v>20</v>
      </c>
      <c r="L259" t="s">
        <v>19</v>
      </c>
      <c r="M259">
        <f t="shared" si="28"/>
        <v>1</v>
      </c>
      <c r="N259">
        <f t="shared" si="29"/>
        <v>1</v>
      </c>
      <c r="O259" t="str">
        <f t="shared" si="30"/>
        <v>Met</v>
      </c>
      <c r="P259" t="str">
        <f t="shared" si="31"/>
        <v>Nov</v>
      </c>
      <c r="Q259">
        <f t="shared" si="32"/>
        <v>2025</v>
      </c>
      <c r="R259" t="str">
        <f t="shared" si="33"/>
        <v>Closed</v>
      </c>
      <c r="S259" t="str">
        <f t="shared" si="34"/>
        <v>Nov</v>
      </c>
    </row>
    <row r="260" spans="1:19" x14ac:dyDescent="0.25">
      <c r="A260" t="s">
        <v>335</v>
      </c>
      <c r="B260" s="1">
        <v>45886</v>
      </c>
      <c r="C260" s="1">
        <v>45892</v>
      </c>
      <c r="D260" t="s">
        <v>13</v>
      </c>
      <c r="E260" t="s">
        <v>29</v>
      </c>
      <c r="F260" t="s">
        <v>15</v>
      </c>
      <c r="G260" t="s">
        <v>16</v>
      </c>
      <c r="H260" t="s">
        <v>59</v>
      </c>
      <c r="I260" t="s">
        <v>38</v>
      </c>
      <c r="J260" t="s">
        <v>18</v>
      </c>
      <c r="K260" t="s">
        <v>20</v>
      </c>
      <c r="L260" t="s">
        <v>39</v>
      </c>
      <c r="M260">
        <f t="shared" si="28"/>
        <v>6</v>
      </c>
      <c r="N260">
        <f t="shared" si="29"/>
        <v>7</v>
      </c>
      <c r="O260" t="str">
        <f t="shared" si="30"/>
        <v>Met</v>
      </c>
      <c r="P260" t="str">
        <f t="shared" si="31"/>
        <v>Aug</v>
      </c>
      <c r="Q260">
        <f t="shared" si="32"/>
        <v>2025</v>
      </c>
      <c r="R260" t="str">
        <f t="shared" si="33"/>
        <v>Closed</v>
      </c>
      <c r="S260" t="str">
        <f t="shared" si="34"/>
        <v>Aug</v>
      </c>
    </row>
    <row r="261" spans="1:19" x14ac:dyDescent="0.25">
      <c r="A261" t="s">
        <v>336</v>
      </c>
      <c r="B261" s="1">
        <v>45661</v>
      </c>
      <c r="D261" t="s">
        <v>28</v>
      </c>
      <c r="E261" t="s">
        <v>58</v>
      </c>
      <c r="F261" t="s">
        <v>30</v>
      </c>
      <c r="G261" t="s">
        <v>55</v>
      </c>
      <c r="H261" t="s">
        <v>136</v>
      </c>
      <c r="I261" t="s">
        <v>25</v>
      </c>
      <c r="J261" t="s">
        <v>60</v>
      </c>
      <c r="K261" t="s">
        <v>20</v>
      </c>
      <c r="L261" t="s">
        <v>39</v>
      </c>
      <c r="M261" t="str">
        <f t="shared" si="28"/>
        <v/>
      </c>
      <c r="N261">
        <f t="shared" si="29"/>
        <v>1</v>
      </c>
      <c r="O261" t="str">
        <f t="shared" si="30"/>
        <v>Open</v>
      </c>
      <c r="P261" t="str">
        <f t="shared" si="31"/>
        <v>Jan</v>
      </c>
      <c r="Q261">
        <f t="shared" si="32"/>
        <v>2025</v>
      </c>
      <c r="R261" t="str">
        <f t="shared" si="33"/>
        <v>Open</v>
      </c>
      <c r="S261" t="str">
        <f t="shared" si="34"/>
        <v>Open</v>
      </c>
    </row>
    <row r="262" spans="1:19" x14ac:dyDescent="0.25">
      <c r="A262" t="s">
        <v>337</v>
      </c>
      <c r="B262" s="1">
        <v>45803</v>
      </c>
      <c r="C262" s="1">
        <v>45804</v>
      </c>
      <c r="D262" t="s">
        <v>45</v>
      </c>
      <c r="E262" t="s">
        <v>14</v>
      </c>
      <c r="F262" t="s">
        <v>50</v>
      </c>
      <c r="G262" t="s">
        <v>16</v>
      </c>
      <c r="H262" t="s">
        <v>151</v>
      </c>
      <c r="I262" t="s">
        <v>69</v>
      </c>
      <c r="J262" t="s">
        <v>18</v>
      </c>
      <c r="K262" t="s">
        <v>19</v>
      </c>
      <c r="L262" t="s">
        <v>39</v>
      </c>
      <c r="M262">
        <f t="shared" si="28"/>
        <v>1</v>
      </c>
      <c r="N262">
        <f t="shared" si="29"/>
        <v>5</v>
      </c>
      <c r="O262" t="str">
        <f t="shared" si="30"/>
        <v>Met</v>
      </c>
      <c r="P262" t="str">
        <f t="shared" si="31"/>
        <v>May</v>
      </c>
      <c r="Q262">
        <f t="shared" si="32"/>
        <v>2025</v>
      </c>
      <c r="R262" t="str">
        <f t="shared" si="33"/>
        <v>Closed</v>
      </c>
      <c r="S262" t="str">
        <f t="shared" si="34"/>
        <v>May</v>
      </c>
    </row>
    <row r="263" spans="1:19" x14ac:dyDescent="0.25">
      <c r="A263" t="s">
        <v>338</v>
      </c>
      <c r="B263" s="1">
        <v>45971</v>
      </c>
      <c r="D263" t="s">
        <v>45</v>
      </c>
      <c r="E263" t="s">
        <v>76</v>
      </c>
      <c r="F263" t="s">
        <v>15</v>
      </c>
      <c r="G263" t="s">
        <v>23</v>
      </c>
      <c r="H263" t="s">
        <v>37</v>
      </c>
      <c r="I263" t="s">
        <v>17</v>
      </c>
      <c r="J263" t="s">
        <v>18</v>
      </c>
      <c r="K263" t="s">
        <v>19</v>
      </c>
      <c r="L263" t="s">
        <v>19</v>
      </c>
      <c r="M263" t="str">
        <f t="shared" si="28"/>
        <v/>
      </c>
      <c r="N263">
        <f t="shared" si="29"/>
        <v>5</v>
      </c>
      <c r="O263" t="str">
        <f t="shared" si="30"/>
        <v>Open</v>
      </c>
      <c r="P263" t="str">
        <f t="shared" si="31"/>
        <v>Nov</v>
      </c>
      <c r="Q263">
        <f t="shared" si="32"/>
        <v>2025</v>
      </c>
      <c r="R263" t="str">
        <f t="shared" si="33"/>
        <v>Open</v>
      </c>
      <c r="S263" t="str">
        <f t="shared" si="34"/>
        <v>Open</v>
      </c>
    </row>
    <row r="264" spans="1:19" x14ac:dyDescent="0.25">
      <c r="A264" t="s">
        <v>339</v>
      </c>
      <c r="B264" s="1">
        <v>45910</v>
      </c>
      <c r="C264" s="1">
        <v>45911</v>
      </c>
      <c r="D264" t="s">
        <v>49</v>
      </c>
      <c r="E264" t="s">
        <v>14</v>
      </c>
      <c r="F264" t="s">
        <v>15</v>
      </c>
      <c r="G264" t="s">
        <v>55</v>
      </c>
      <c r="H264" t="s">
        <v>51</v>
      </c>
      <c r="I264" t="s">
        <v>25</v>
      </c>
      <c r="J264" t="s">
        <v>34</v>
      </c>
      <c r="K264" t="s">
        <v>19</v>
      </c>
      <c r="L264" t="s">
        <v>20</v>
      </c>
      <c r="M264">
        <f t="shared" si="28"/>
        <v>1</v>
      </c>
      <c r="N264">
        <f t="shared" si="29"/>
        <v>3</v>
      </c>
      <c r="O264" t="str">
        <f t="shared" si="30"/>
        <v>Met</v>
      </c>
      <c r="P264" t="str">
        <f t="shared" si="31"/>
        <v>Sep</v>
      </c>
      <c r="Q264">
        <f t="shared" si="32"/>
        <v>2025</v>
      </c>
      <c r="R264" t="str">
        <f t="shared" si="33"/>
        <v>Closed</v>
      </c>
      <c r="S264" t="str">
        <f t="shared" si="34"/>
        <v>Sep</v>
      </c>
    </row>
    <row r="265" spans="1:19" x14ac:dyDescent="0.25">
      <c r="A265" t="s">
        <v>340</v>
      </c>
      <c r="B265" s="1">
        <v>45692</v>
      </c>
      <c r="C265" s="1">
        <v>45695</v>
      </c>
      <c r="D265" t="s">
        <v>13</v>
      </c>
      <c r="E265" t="s">
        <v>29</v>
      </c>
      <c r="F265" t="s">
        <v>36</v>
      </c>
      <c r="G265" t="s">
        <v>42</v>
      </c>
      <c r="H265" t="s">
        <v>73</v>
      </c>
      <c r="I265" t="s">
        <v>17</v>
      </c>
      <c r="J265" t="s">
        <v>18</v>
      </c>
      <c r="K265" t="s">
        <v>19</v>
      </c>
      <c r="L265" t="s">
        <v>20</v>
      </c>
      <c r="M265">
        <f t="shared" si="28"/>
        <v>3</v>
      </c>
      <c r="N265">
        <f t="shared" si="29"/>
        <v>7</v>
      </c>
      <c r="O265" t="str">
        <f t="shared" si="30"/>
        <v>Met</v>
      </c>
      <c r="P265" t="str">
        <f t="shared" si="31"/>
        <v>Feb</v>
      </c>
      <c r="Q265">
        <f t="shared" si="32"/>
        <v>2025</v>
      </c>
      <c r="R265" t="str">
        <f t="shared" si="33"/>
        <v>Closed</v>
      </c>
      <c r="S265" t="str">
        <f t="shared" si="34"/>
        <v>Feb</v>
      </c>
    </row>
    <row r="266" spans="1:19" x14ac:dyDescent="0.25">
      <c r="A266" t="s">
        <v>341</v>
      </c>
      <c r="B266" s="1">
        <v>45869</v>
      </c>
      <c r="C266" s="1">
        <v>45869</v>
      </c>
      <c r="D266" t="s">
        <v>28</v>
      </c>
      <c r="E266" t="s">
        <v>14</v>
      </c>
      <c r="F266" t="s">
        <v>36</v>
      </c>
      <c r="G266" t="s">
        <v>23</v>
      </c>
      <c r="H266" t="s">
        <v>110</v>
      </c>
      <c r="I266" t="s">
        <v>69</v>
      </c>
      <c r="J266" t="s">
        <v>18</v>
      </c>
      <c r="K266" t="s">
        <v>19</v>
      </c>
      <c r="L266" t="s">
        <v>19</v>
      </c>
      <c r="M266">
        <f t="shared" si="28"/>
        <v>0</v>
      </c>
      <c r="N266">
        <f t="shared" si="29"/>
        <v>1</v>
      </c>
      <c r="O266" t="str">
        <f t="shared" si="30"/>
        <v>Met</v>
      </c>
      <c r="P266" t="str">
        <f t="shared" si="31"/>
        <v>Jul</v>
      </c>
      <c r="Q266">
        <f t="shared" si="32"/>
        <v>2025</v>
      </c>
      <c r="R266" t="str">
        <f t="shared" si="33"/>
        <v>Closed</v>
      </c>
      <c r="S266" t="str">
        <f t="shared" si="34"/>
        <v>Jul</v>
      </c>
    </row>
    <row r="267" spans="1:19" x14ac:dyDescent="0.25">
      <c r="A267" t="s">
        <v>342</v>
      </c>
      <c r="B267" s="1">
        <v>45950</v>
      </c>
      <c r="C267" s="1">
        <v>45950</v>
      </c>
      <c r="D267" t="s">
        <v>45</v>
      </c>
      <c r="E267" t="s">
        <v>14</v>
      </c>
      <c r="F267" t="s">
        <v>22</v>
      </c>
      <c r="G267" t="s">
        <v>23</v>
      </c>
      <c r="H267" t="s">
        <v>106</v>
      </c>
      <c r="I267" t="s">
        <v>17</v>
      </c>
      <c r="J267" t="s">
        <v>60</v>
      </c>
      <c r="K267" t="s">
        <v>20</v>
      </c>
      <c r="L267" t="s">
        <v>39</v>
      </c>
      <c r="M267">
        <f t="shared" si="28"/>
        <v>0</v>
      </c>
      <c r="N267">
        <f t="shared" si="29"/>
        <v>5</v>
      </c>
      <c r="O267" t="str">
        <f t="shared" si="30"/>
        <v>Met</v>
      </c>
      <c r="P267" t="str">
        <f t="shared" si="31"/>
        <v>Oct</v>
      </c>
      <c r="Q267">
        <f t="shared" si="32"/>
        <v>2025</v>
      </c>
      <c r="R267" t="str">
        <f t="shared" si="33"/>
        <v>Closed</v>
      </c>
      <c r="S267" t="str">
        <f t="shared" si="34"/>
        <v>Oct</v>
      </c>
    </row>
    <row r="268" spans="1:19" x14ac:dyDescent="0.25">
      <c r="A268" t="s">
        <v>343</v>
      </c>
      <c r="B268" s="1">
        <v>45705</v>
      </c>
      <c r="C268" s="1">
        <v>45705</v>
      </c>
      <c r="D268" t="s">
        <v>49</v>
      </c>
      <c r="E268" t="s">
        <v>29</v>
      </c>
      <c r="F268" t="s">
        <v>41</v>
      </c>
      <c r="G268" t="s">
        <v>55</v>
      </c>
      <c r="H268" t="s">
        <v>128</v>
      </c>
      <c r="I268" t="s">
        <v>17</v>
      </c>
      <c r="J268" t="s">
        <v>60</v>
      </c>
      <c r="K268" t="s">
        <v>20</v>
      </c>
      <c r="L268" t="s">
        <v>20</v>
      </c>
      <c r="M268">
        <f t="shared" si="28"/>
        <v>0</v>
      </c>
      <c r="N268">
        <f t="shared" si="29"/>
        <v>3</v>
      </c>
      <c r="O268" t="str">
        <f t="shared" si="30"/>
        <v>Met</v>
      </c>
      <c r="P268" t="str">
        <f t="shared" si="31"/>
        <v>Feb</v>
      </c>
      <c r="Q268">
        <f t="shared" si="32"/>
        <v>2025</v>
      </c>
      <c r="R268" t="str">
        <f t="shared" si="33"/>
        <v>Closed</v>
      </c>
      <c r="S268" t="str">
        <f t="shared" si="34"/>
        <v>Feb</v>
      </c>
    </row>
    <row r="269" spans="1:19" x14ac:dyDescent="0.25">
      <c r="A269" t="s">
        <v>344</v>
      </c>
      <c r="B269" s="1">
        <v>45925</v>
      </c>
      <c r="D269" t="s">
        <v>49</v>
      </c>
      <c r="E269" t="s">
        <v>76</v>
      </c>
      <c r="F269" t="s">
        <v>15</v>
      </c>
      <c r="G269" t="s">
        <v>23</v>
      </c>
      <c r="H269" t="s">
        <v>591</v>
      </c>
      <c r="I269" t="s">
        <v>69</v>
      </c>
      <c r="J269" t="s">
        <v>34</v>
      </c>
      <c r="K269" t="s">
        <v>39</v>
      </c>
      <c r="L269" t="s">
        <v>20</v>
      </c>
      <c r="M269" t="str">
        <f t="shared" si="28"/>
        <v/>
      </c>
      <c r="N269">
        <f t="shared" si="29"/>
        <v>3</v>
      </c>
      <c r="O269" t="str">
        <f t="shared" si="30"/>
        <v>Open</v>
      </c>
      <c r="P269" t="str">
        <f t="shared" si="31"/>
        <v>Sep</v>
      </c>
      <c r="Q269">
        <f t="shared" si="32"/>
        <v>2025</v>
      </c>
      <c r="R269" t="str">
        <f t="shared" si="33"/>
        <v>Open</v>
      </c>
      <c r="S269" t="str">
        <f t="shared" si="34"/>
        <v>Open</v>
      </c>
    </row>
    <row r="270" spans="1:19" x14ac:dyDescent="0.25">
      <c r="A270" t="s">
        <v>345</v>
      </c>
      <c r="B270" s="1">
        <v>45821</v>
      </c>
      <c r="C270" s="1">
        <v>45826</v>
      </c>
      <c r="D270" t="s">
        <v>45</v>
      </c>
      <c r="E270" t="s">
        <v>14</v>
      </c>
      <c r="F270" t="s">
        <v>15</v>
      </c>
      <c r="G270" t="s">
        <v>23</v>
      </c>
      <c r="H270" t="s">
        <v>79</v>
      </c>
      <c r="I270" t="s">
        <v>33</v>
      </c>
      <c r="J270" t="s">
        <v>18</v>
      </c>
      <c r="K270" t="s">
        <v>39</v>
      </c>
      <c r="L270" t="s">
        <v>39</v>
      </c>
      <c r="M270">
        <f t="shared" si="28"/>
        <v>5</v>
      </c>
      <c r="N270">
        <f t="shared" si="29"/>
        <v>5</v>
      </c>
      <c r="O270" t="str">
        <f t="shared" si="30"/>
        <v>Met</v>
      </c>
      <c r="P270" t="str">
        <f t="shared" si="31"/>
        <v>Jun</v>
      </c>
      <c r="Q270">
        <f t="shared" si="32"/>
        <v>2025</v>
      </c>
      <c r="R270" t="str">
        <f t="shared" si="33"/>
        <v>Closed</v>
      </c>
      <c r="S270" t="str">
        <f t="shared" si="34"/>
        <v>Jun</v>
      </c>
    </row>
    <row r="271" spans="1:19" x14ac:dyDescent="0.25">
      <c r="A271" t="s">
        <v>346</v>
      </c>
      <c r="B271" s="1">
        <v>46003</v>
      </c>
      <c r="D271" t="s">
        <v>49</v>
      </c>
      <c r="E271" t="s">
        <v>76</v>
      </c>
      <c r="F271" t="s">
        <v>592</v>
      </c>
      <c r="G271" t="s">
        <v>42</v>
      </c>
      <c r="H271" t="s">
        <v>106</v>
      </c>
      <c r="I271" t="s">
        <v>52</v>
      </c>
      <c r="J271" t="s">
        <v>60</v>
      </c>
      <c r="K271" t="s">
        <v>20</v>
      </c>
      <c r="L271" t="s">
        <v>19</v>
      </c>
      <c r="M271" t="str">
        <f t="shared" si="28"/>
        <v/>
      </c>
      <c r="N271">
        <f t="shared" si="29"/>
        <v>3</v>
      </c>
      <c r="O271" t="str">
        <f t="shared" si="30"/>
        <v>Open</v>
      </c>
      <c r="P271" t="str">
        <f t="shared" si="31"/>
        <v>Dec</v>
      </c>
      <c r="Q271">
        <f t="shared" si="32"/>
        <v>2025</v>
      </c>
      <c r="R271" t="str">
        <f t="shared" si="33"/>
        <v>Open</v>
      </c>
      <c r="S271" t="str">
        <f t="shared" si="34"/>
        <v>Open</v>
      </c>
    </row>
    <row r="272" spans="1:19" x14ac:dyDescent="0.25">
      <c r="A272" t="s">
        <v>347</v>
      </c>
      <c r="B272" s="1">
        <v>46015</v>
      </c>
      <c r="C272" s="1">
        <v>46017</v>
      </c>
      <c r="D272" t="s">
        <v>45</v>
      </c>
      <c r="E272" t="s">
        <v>29</v>
      </c>
      <c r="F272" t="s">
        <v>30</v>
      </c>
      <c r="G272" t="s">
        <v>31</v>
      </c>
      <c r="H272" t="s">
        <v>37</v>
      </c>
      <c r="I272" t="s">
        <v>38</v>
      </c>
      <c r="J272" t="s">
        <v>18</v>
      </c>
      <c r="K272" t="s">
        <v>39</v>
      </c>
      <c r="L272" t="s">
        <v>39</v>
      </c>
      <c r="M272">
        <f t="shared" si="28"/>
        <v>2</v>
      </c>
      <c r="N272">
        <f t="shared" si="29"/>
        <v>5</v>
      </c>
      <c r="O272" t="str">
        <f t="shared" si="30"/>
        <v>Met</v>
      </c>
      <c r="P272" t="str">
        <f t="shared" si="31"/>
        <v>Dec</v>
      </c>
      <c r="Q272">
        <f t="shared" si="32"/>
        <v>2025</v>
      </c>
      <c r="R272" t="str">
        <f t="shared" si="33"/>
        <v>Closed</v>
      </c>
      <c r="S272" t="str">
        <f t="shared" si="34"/>
        <v>Dec</v>
      </c>
    </row>
    <row r="273" spans="1:19" x14ac:dyDescent="0.25">
      <c r="A273" t="s">
        <v>348</v>
      </c>
      <c r="B273" s="1">
        <v>45837</v>
      </c>
      <c r="C273" s="1">
        <v>45840</v>
      </c>
      <c r="D273" t="s">
        <v>49</v>
      </c>
      <c r="E273" t="s">
        <v>29</v>
      </c>
      <c r="F273" t="s">
        <v>592</v>
      </c>
      <c r="G273" t="s">
        <v>23</v>
      </c>
      <c r="H273" t="s">
        <v>43</v>
      </c>
      <c r="I273" t="s">
        <v>33</v>
      </c>
      <c r="J273" t="s">
        <v>34</v>
      </c>
      <c r="K273" t="s">
        <v>19</v>
      </c>
      <c r="L273" t="s">
        <v>39</v>
      </c>
      <c r="M273">
        <f t="shared" si="28"/>
        <v>3</v>
      </c>
      <c r="N273">
        <f t="shared" si="29"/>
        <v>3</v>
      </c>
      <c r="O273" t="str">
        <f t="shared" si="30"/>
        <v>Met</v>
      </c>
      <c r="P273" t="str">
        <f t="shared" si="31"/>
        <v>Jun</v>
      </c>
      <c r="Q273">
        <f t="shared" si="32"/>
        <v>2025</v>
      </c>
      <c r="R273" t="str">
        <f t="shared" si="33"/>
        <v>Closed</v>
      </c>
      <c r="S273" t="str">
        <f t="shared" si="34"/>
        <v>Jul</v>
      </c>
    </row>
    <row r="274" spans="1:19" x14ac:dyDescent="0.25">
      <c r="A274" t="s">
        <v>349</v>
      </c>
      <c r="B274" s="1">
        <v>45854</v>
      </c>
      <c r="D274" t="s">
        <v>13</v>
      </c>
      <c r="E274" t="s">
        <v>76</v>
      </c>
      <c r="F274" t="s">
        <v>592</v>
      </c>
      <c r="G274" t="s">
        <v>31</v>
      </c>
      <c r="H274" t="s">
        <v>56</v>
      </c>
      <c r="I274" t="s">
        <v>25</v>
      </c>
      <c r="J274" t="s">
        <v>18</v>
      </c>
      <c r="K274" t="s">
        <v>20</v>
      </c>
      <c r="L274" t="s">
        <v>19</v>
      </c>
      <c r="M274" t="str">
        <f t="shared" si="28"/>
        <v/>
      </c>
      <c r="N274">
        <f t="shared" si="29"/>
        <v>7</v>
      </c>
      <c r="O274" t="str">
        <f t="shared" si="30"/>
        <v>Open</v>
      </c>
      <c r="P274" t="str">
        <f t="shared" si="31"/>
        <v>Jul</v>
      </c>
      <c r="Q274">
        <f t="shared" si="32"/>
        <v>2025</v>
      </c>
      <c r="R274" t="str">
        <f t="shared" si="33"/>
        <v>Open</v>
      </c>
      <c r="S274" t="str">
        <f t="shared" si="34"/>
        <v>Open</v>
      </c>
    </row>
    <row r="275" spans="1:19" x14ac:dyDescent="0.25">
      <c r="A275" t="s">
        <v>350</v>
      </c>
      <c r="B275" s="1">
        <v>45885</v>
      </c>
      <c r="D275" t="s">
        <v>28</v>
      </c>
      <c r="E275" t="s">
        <v>58</v>
      </c>
      <c r="F275" t="s">
        <v>15</v>
      </c>
      <c r="G275" t="s">
        <v>55</v>
      </c>
      <c r="H275" t="s">
        <v>110</v>
      </c>
      <c r="I275" t="s">
        <v>47</v>
      </c>
      <c r="J275" t="s">
        <v>34</v>
      </c>
      <c r="K275" t="s">
        <v>19</v>
      </c>
      <c r="L275" t="s">
        <v>39</v>
      </c>
      <c r="M275" t="str">
        <f t="shared" si="28"/>
        <v/>
      </c>
      <c r="N275">
        <f t="shared" si="29"/>
        <v>1</v>
      </c>
      <c r="O275" t="str">
        <f t="shared" si="30"/>
        <v>Open</v>
      </c>
      <c r="P275" t="str">
        <f t="shared" si="31"/>
        <v>Aug</v>
      </c>
      <c r="Q275">
        <f t="shared" si="32"/>
        <v>2025</v>
      </c>
      <c r="R275" t="str">
        <f t="shared" si="33"/>
        <v>Open</v>
      </c>
      <c r="S275" t="str">
        <f t="shared" si="34"/>
        <v>Open</v>
      </c>
    </row>
    <row r="276" spans="1:19" x14ac:dyDescent="0.25">
      <c r="A276" t="s">
        <v>351</v>
      </c>
      <c r="B276" s="1">
        <v>45807</v>
      </c>
      <c r="C276" s="1">
        <v>45808</v>
      </c>
      <c r="D276" t="s">
        <v>13</v>
      </c>
      <c r="E276" t="s">
        <v>29</v>
      </c>
      <c r="F276" t="s">
        <v>50</v>
      </c>
      <c r="G276" t="s">
        <v>55</v>
      </c>
      <c r="H276" t="s">
        <v>136</v>
      </c>
      <c r="I276" t="s">
        <v>47</v>
      </c>
      <c r="J276" t="s">
        <v>34</v>
      </c>
      <c r="K276" t="s">
        <v>20</v>
      </c>
      <c r="L276" t="s">
        <v>39</v>
      </c>
      <c r="M276">
        <f t="shared" si="28"/>
        <v>1</v>
      </c>
      <c r="N276">
        <f t="shared" si="29"/>
        <v>7</v>
      </c>
      <c r="O276" t="str">
        <f t="shared" si="30"/>
        <v>Met</v>
      </c>
      <c r="P276" t="str">
        <f t="shared" si="31"/>
        <v>May</v>
      </c>
      <c r="Q276">
        <f t="shared" si="32"/>
        <v>2025</v>
      </c>
      <c r="R276" t="str">
        <f t="shared" si="33"/>
        <v>Closed</v>
      </c>
      <c r="S276" t="str">
        <f t="shared" si="34"/>
        <v>May</v>
      </c>
    </row>
    <row r="277" spans="1:19" x14ac:dyDescent="0.25">
      <c r="A277" t="s">
        <v>352</v>
      </c>
      <c r="B277" s="1">
        <v>45939</v>
      </c>
      <c r="C277" s="1">
        <v>45940</v>
      </c>
      <c r="D277" t="s">
        <v>49</v>
      </c>
      <c r="E277" t="s">
        <v>14</v>
      </c>
      <c r="F277" t="s">
        <v>36</v>
      </c>
      <c r="G277" t="s">
        <v>42</v>
      </c>
      <c r="H277" t="s">
        <v>77</v>
      </c>
      <c r="I277" t="s">
        <v>38</v>
      </c>
      <c r="J277" t="s">
        <v>34</v>
      </c>
      <c r="K277" t="s">
        <v>39</v>
      </c>
      <c r="L277" t="s">
        <v>19</v>
      </c>
      <c r="M277">
        <f t="shared" si="28"/>
        <v>1</v>
      </c>
      <c r="N277">
        <f t="shared" si="29"/>
        <v>3</v>
      </c>
      <c r="O277" t="str">
        <f t="shared" si="30"/>
        <v>Met</v>
      </c>
      <c r="P277" t="str">
        <f t="shared" si="31"/>
        <v>Oct</v>
      </c>
      <c r="Q277">
        <f t="shared" si="32"/>
        <v>2025</v>
      </c>
      <c r="R277" t="str">
        <f t="shared" si="33"/>
        <v>Closed</v>
      </c>
      <c r="S277" t="str">
        <f t="shared" si="34"/>
        <v>Oct</v>
      </c>
    </row>
    <row r="278" spans="1:19" x14ac:dyDescent="0.25">
      <c r="A278" t="s">
        <v>353</v>
      </c>
      <c r="B278" s="1">
        <v>45842</v>
      </c>
      <c r="C278" s="1">
        <v>45843</v>
      </c>
      <c r="D278" t="s">
        <v>13</v>
      </c>
      <c r="E278" t="s">
        <v>14</v>
      </c>
      <c r="F278" t="s">
        <v>36</v>
      </c>
      <c r="G278" t="s">
        <v>31</v>
      </c>
      <c r="H278" t="s">
        <v>77</v>
      </c>
      <c r="I278" t="s">
        <v>33</v>
      </c>
      <c r="J278" t="s">
        <v>34</v>
      </c>
      <c r="K278" t="s">
        <v>20</v>
      </c>
      <c r="L278" t="s">
        <v>19</v>
      </c>
      <c r="M278">
        <f t="shared" si="28"/>
        <v>1</v>
      </c>
      <c r="N278">
        <f t="shared" si="29"/>
        <v>7</v>
      </c>
      <c r="O278" t="str">
        <f t="shared" si="30"/>
        <v>Met</v>
      </c>
      <c r="P278" t="str">
        <f t="shared" si="31"/>
        <v>Jul</v>
      </c>
      <c r="Q278">
        <f t="shared" si="32"/>
        <v>2025</v>
      </c>
      <c r="R278" t="str">
        <f t="shared" si="33"/>
        <v>Closed</v>
      </c>
      <c r="S278" t="str">
        <f t="shared" si="34"/>
        <v>Jul</v>
      </c>
    </row>
    <row r="279" spans="1:19" x14ac:dyDescent="0.25">
      <c r="A279" t="s">
        <v>354</v>
      </c>
      <c r="B279" s="1">
        <v>45888</v>
      </c>
      <c r="C279" s="1">
        <v>45888</v>
      </c>
      <c r="D279" t="s">
        <v>45</v>
      </c>
      <c r="E279" t="s">
        <v>29</v>
      </c>
      <c r="F279" t="s">
        <v>30</v>
      </c>
      <c r="G279" t="s">
        <v>55</v>
      </c>
      <c r="H279" t="s">
        <v>134</v>
      </c>
      <c r="I279" t="s">
        <v>25</v>
      </c>
      <c r="J279" t="s">
        <v>18</v>
      </c>
      <c r="K279" t="s">
        <v>19</v>
      </c>
      <c r="L279" t="s">
        <v>39</v>
      </c>
      <c r="M279">
        <f t="shared" si="28"/>
        <v>0</v>
      </c>
      <c r="N279">
        <f t="shared" si="29"/>
        <v>5</v>
      </c>
      <c r="O279" t="str">
        <f t="shared" si="30"/>
        <v>Met</v>
      </c>
      <c r="P279" t="str">
        <f t="shared" si="31"/>
        <v>Aug</v>
      </c>
      <c r="Q279">
        <f t="shared" si="32"/>
        <v>2025</v>
      </c>
      <c r="R279" t="str">
        <f t="shared" si="33"/>
        <v>Closed</v>
      </c>
      <c r="S279" t="str">
        <f t="shared" si="34"/>
        <v>Aug</v>
      </c>
    </row>
    <row r="280" spans="1:19" x14ac:dyDescent="0.25">
      <c r="A280" t="s">
        <v>355</v>
      </c>
      <c r="B280" s="1">
        <v>45927</v>
      </c>
      <c r="C280" s="1">
        <v>45930</v>
      </c>
      <c r="D280" t="s">
        <v>45</v>
      </c>
      <c r="E280" t="s">
        <v>14</v>
      </c>
      <c r="F280" t="s">
        <v>41</v>
      </c>
      <c r="G280" t="s">
        <v>16</v>
      </c>
      <c r="H280" t="s">
        <v>106</v>
      </c>
      <c r="I280" t="s">
        <v>33</v>
      </c>
      <c r="J280" t="s">
        <v>60</v>
      </c>
      <c r="K280" t="s">
        <v>20</v>
      </c>
      <c r="L280" t="s">
        <v>20</v>
      </c>
      <c r="M280">
        <f t="shared" si="28"/>
        <v>3</v>
      </c>
      <c r="N280">
        <f t="shared" si="29"/>
        <v>5</v>
      </c>
      <c r="O280" t="str">
        <f t="shared" si="30"/>
        <v>Met</v>
      </c>
      <c r="P280" t="str">
        <f t="shared" si="31"/>
        <v>Sep</v>
      </c>
      <c r="Q280">
        <f t="shared" si="32"/>
        <v>2025</v>
      </c>
      <c r="R280" t="str">
        <f t="shared" si="33"/>
        <v>Closed</v>
      </c>
      <c r="S280" t="str">
        <f t="shared" si="34"/>
        <v>Sep</v>
      </c>
    </row>
    <row r="281" spans="1:19" x14ac:dyDescent="0.25">
      <c r="A281" t="s">
        <v>356</v>
      </c>
      <c r="B281" s="1">
        <v>45898</v>
      </c>
      <c r="C281" s="1">
        <v>45903</v>
      </c>
      <c r="D281" t="s">
        <v>28</v>
      </c>
      <c r="E281" t="s">
        <v>29</v>
      </c>
      <c r="F281" t="s">
        <v>36</v>
      </c>
      <c r="G281" t="s">
        <v>23</v>
      </c>
      <c r="H281" t="s">
        <v>151</v>
      </c>
      <c r="I281" t="s">
        <v>52</v>
      </c>
      <c r="J281" t="s">
        <v>26</v>
      </c>
      <c r="K281" t="s">
        <v>19</v>
      </c>
      <c r="L281" t="s">
        <v>19</v>
      </c>
      <c r="M281">
        <f t="shared" si="28"/>
        <v>5</v>
      </c>
      <c r="N281">
        <f t="shared" si="29"/>
        <v>1</v>
      </c>
      <c r="O281" t="str">
        <f t="shared" si="30"/>
        <v>Breached</v>
      </c>
      <c r="P281" t="str">
        <f t="shared" si="31"/>
        <v>Aug</v>
      </c>
      <c r="Q281">
        <f t="shared" si="32"/>
        <v>2025</v>
      </c>
      <c r="R281" t="str">
        <f t="shared" si="33"/>
        <v>Closed</v>
      </c>
      <c r="S281" t="str">
        <f t="shared" si="34"/>
        <v>Sep</v>
      </c>
    </row>
    <row r="282" spans="1:19" x14ac:dyDescent="0.25">
      <c r="A282" t="s">
        <v>357</v>
      </c>
      <c r="B282" s="1">
        <v>45906</v>
      </c>
      <c r="D282" t="s">
        <v>13</v>
      </c>
      <c r="E282" t="s">
        <v>76</v>
      </c>
      <c r="F282" t="s">
        <v>50</v>
      </c>
      <c r="G282" t="s">
        <v>55</v>
      </c>
      <c r="H282" t="s">
        <v>134</v>
      </c>
      <c r="I282" t="s">
        <v>69</v>
      </c>
      <c r="J282" t="s">
        <v>34</v>
      </c>
      <c r="K282" t="s">
        <v>20</v>
      </c>
      <c r="L282" t="s">
        <v>19</v>
      </c>
      <c r="M282" t="str">
        <f t="shared" si="28"/>
        <v/>
      </c>
      <c r="N282">
        <f t="shared" si="29"/>
        <v>7</v>
      </c>
      <c r="O282" t="str">
        <f t="shared" si="30"/>
        <v>Open</v>
      </c>
      <c r="P282" t="str">
        <f t="shared" si="31"/>
        <v>Sep</v>
      </c>
      <c r="Q282">
        <f t="shared" si="32"/>
        <v>2025</v>
      </c>
      <c r="R282" t="str">
        <f t="shared" si="33"/>
        <v>Open</v>
      </c>
      <c r="S282" t="str">
        <f t="shared" si="34"/>
        <v>Open</v>
      </c>
    </row>
    <row r="283" spans="1:19" x14ac:dyDescent="0.25">
      <c r="A283" t="s">
        <v>358</v>
      </c>
      <c r="B283" s="1">
        <v>45750</v>
      </c>
      <c r="C283" s="1">
        <v>45751</v>
      </c>
      <c r="D283" t="s">
        <v>45</v>
      </c>
      <c r="E283" t="s">
        <v>14</v>
      </c>
      <c r="F283" t="s">
        <v>66</v>
      </c>
      <c r="G283" t="s">
        <v>42</v>
      </c>
      <c r="H283" t="s">
        <v>79</v>
      </c>
      <c r="I283" t="s">
        <v>25</v>
      </c>
      <c r="J283" t="s">
        <v>26</v>
      </c>
      <c r="K283" t="s">
        <v>39</v>
      </c>
      <c r="L283" t="s">
        <v>39</v>
      </c>
      <c r="M283">
        <f t="shared" si="28"/>
        <v>1</v>
      </c>
      <c r="N283">
        <f t="shared" si="29"/>
        <v>5</v>
      </c>
      <c r="O283" t="str">
        <f t="shared" si="30"/>
        <v>Met</v>
      </c>
      <c r="P283" t="str">
        <f t="shared" si="31"/>
        <v>Apr</v>
      </c>
      <c r="Q283">
        <f t="shared" si="32"/>
        <v>2025</v>
      </c>
      <c r="R283" t="str">
        <f t="shared" si="33"/>
        <v>Closed</v>
      </c>
      <c r="S283" t="str">
        <f t="shared" si="34"/>
        <v>Apr</v>
      </c>
    </row>
    <row r="284" spans="1:19" x14ac:dyDescent="0.25">
      <c r="A284" t="s">
        <v>359</v>
      </c>
      <c r="B284" s="1">
        <v>45862</v>
      </c>
      <c r="C284" s="1">
        <v>45865</v>
      </c>
      <c r="D284" t="s">
        <v>45</v>
      </c>
      <c r="E284" t="s">
        <v>29</v>
      </c>
      <c r="F284" t="s">
        <v>592</v>
      </c>
      <c r="G284" t="s">
        <v>591</v>
      </c>
      <c r="H284" t="s">
        <v>24</v>
      </c>
      <c r="I284" t="s">
        <v>33</v>
      </c>
      <c r="J284" t="s">
        <v>60</v>
      </c>
      <c r="K284" t="s">
        <v>39</v>
      </c>
      <c r="L284" t="s">
        <v>19</v>
      </c>
      <c r="M284">
        <f t="shared" si="28"/>
        <v>3</v>
      </c>
      <c r="N284">
        <f t="shared" si="29"/>
        <v>5</v>
      </c>
      <c r="O284" t="str">
        <f t="shared" si="30"/>
        <v>Met</v>
      </c>
      <c r="P284" t="str">
        <f t="shared" si="31"/>
        <v>Jul</v>
      </c>
      <c r="Q284">
        <f t="shared" si="32"/>
        <v>2025</v>
      </c>
      <c r="R284" t="str">
        <f t="shared" si="33"/>
        <v>Closed</v>
      </c>
      <c r="S284" t="str">
        <f t="shared" si="34"/>
        <v>Jul</v>
      </c>
    </row>
    <row r="285" spans="1:19" x14ac:dyDescent="0.25">
      <c r="A285" t="s">
        <v>360</v>
      </c>
      <c r="B285" s="1">
        <v>45879</v>
      </c>
      <c r="C285" s="1">
        <v>45883</v>
      </c>
      <c r="D285" t="s">
        <v>28</v>
      </c>
      <c r="E285" t="s">
        <v>14</v>
      </c>
      <c r="F285" t="s">
        <v>592</v>
      </c>
      <c r="G285" t="s">
        <v>31</v>
      </c>
      <c r="H285" t="s">
        <v>79</v>
      </c>
      <c r="I285" t="s">
        <v>52</v>
      </c>
      <c r="J285" t="s">
        <v>60</v>
      </c>
      <c r="K285" t="s">
        <v>39</v>
      </c>
      <c r="L285" t="s">
        <v>39</v>
      </c>
      <c r="M285">
        <f t="shared" si="28"/>
        <v>4</v>
      </c>
      <c r="N285">
        <f t="shared" si="29"/>
        <v>1</v>
      </c>
      <c r="O285" t="str">
        <f t="shared" si="30"/>
        <v>Breached</v>
      </c>
      <c r="P285" t="str">
        <f t="shared" si="31"/>
        <v>Aug</v>
      </c>
      <c r="Q285">
        <f t="shared" si="32"/>
        <v>2025</v>
      </c>
      <c r="R285" t="str">
        <f t="shared" si="33"/>
        <v>Closed</v>
      </c>
      <c r="S285" t="str">
        <f t="shared" si="34"/>
        <v>Aug</v>
      </c>
    </row>
    <row r="286" spans="1:19" x14ac:dyDescent="0.25">
      <c r="A286" t="s">
        <v>361</v>
      </c>
      <c r="B286" s="1">
        <v>45926</v>
      </c>
      <c r="D286" t="s">
        <v>28</v>
      </c>
      <c r="E286" t="s">
        <v>76</v>
      </c>
      <c r="F286" t="s">
        <v>50</v>
      </c>
      <c r="G286" t="s">
        <v>16</v>
      </c>
      <c r="H286" t="s">
        <v>32</v>
      </c>
      <c r="I286" t="s">
        <v>52</v>
      </c>
      <c r="J286" t="s">
        <v>60</v>
      </c>
      <c r="K286" t="s">
        <v>39</v>
      </c>
      <c r="L286" t="s">
        <v>19</v>
      </c>
      <c r="M286" t="str">
        <f t="shared" si="28"/>
        <v/>
      </c>
      <c r="N286">
        <f t="shared" si="29"/>
        <v>1</v>
      </c>
      <c r="O286" t="str">
        <f t="shared" si="30"/>
        <v>Open</v>
      </c>
      <c r="P286" t="str">
        <f t="shared" si="31"/>
        <v>Sep</v>
      </c>
      <c r="Q286">
        <f t="shared" si="32"/>
        <v>2025</v>
      </c>
      <c r="R286" t="str">
        <f t="shared" si="33"/>
        <v>Open</v>
      </c>
      <c r="S286" t="str">
        <f t="shared" si="34"/>
        <v>Open</v>
      </c>
    </row>
    <row r="287" spans="1:19" x14ac:dyDescent="0.25">
      <c r="A287" t="s">
        <v>362</v>
      </c>
      <c r="B287" s="1">
        <v>45994</v>
      </c>
      <c r="C287" s="1">
        <v>45994</v>
      </c>
      <c r="D287" t="s">
        <v>28</v>
      </c>
      <c r="E287" t="s">
        <v>14</v>
      </c>
      <c r="F287" t="s">
        <v>15</v>
      </c>
      <c r="G287" t="s">
        <v>23</v>
      </c>
      <c r="H287" t="s">
        <v>56</v>
      </c>
      <c r="I287" t="s">
        <v>38</v>
      </c>
      <c r="J287" t="s">
        <v>18</v>
      </c>
      <c r="K287" t="s">
        <v>20</v>
      </c>
      <c r="L287" t="s">
        <v>39</v>
      </c>
      <c r="M287">
        <f t="shared" si="28"/>
        <v>0</v>
      </c>
      <c r="N287">
        <f t="shared" si="29"/>
        <v>1</v>
      </c>
      <c r="O287" t="str">
        <f t="shared" si="30"/>
        <v>Met</v>
      </c>
      <c r="P287" t="str">
        <f t="shared" si="31"/>
        <v>Dec</v>
      </c>
      <c r="Q287">
        <f t="shared" si="32"/>
        <v>2025</v>
      </c>
      <c r="R287" t="str">
        <f t="shared" si="33"/>
        <v>Closed</v>
      </c>
      <c r="S287" t="str">
        <f t="shared" si="34"/>
        <v>Dec</v>
      </c>
    </row>
    <row r="288" spans="1:19" x14ac:dyDescent="0.25">
      <c r="A288" t="s">
        <v>363</v>
      </c>
      <c r="B288" s="1">
        <v>45793</v>
      </c>
      <c r="D288" t="s">
        <v>45</v>
      </c>
      <c r="E288" t="s">
        <v>58</v>
      </c>
      <c r="F288" t="s">
        <v>30</v>
      </c>
      <c r="G288" t="s">
        <v>42</v>
      </c>
      <c r="H288" t="s">
        <v>46</v>
      </c>
      <c r="I288" t="s">
        <v>25</v>
      </c>
      <c r="J288" t="s">
        <v>60</v>
      </c>
      <c r="K288" t="s">
        <v>39</v>
      </c>
      <c r="L288" t="s">
        <v>39</v>
      </c>
      <c r="M288" t="str">
        <f t="shared" si="28"/>
        <v/>
      </c>
      <c r="N288">
        <f t="shared" si="29"/>
        <v>5</v>
      </c>
      <c r="O288" t="str">
        <f t="shared" si="30"/>
        <v>Open</v>
      </c>
      <c r="P288" t="str">
        <f t="shared" si="31"/>
        <v>May</v>
      </c>
      <c r="Q288">
        <f t="shared" si="32"/>
        <v>2025</v>
      </c>
      <c r="R288" t="str">
        <f t="shared" si="33"/>
        <v>Open</v>
      </c>
      <c r="S288" t="str">
        <f t="shared" si="34"/>
        <v>Open</v>
      </c>
    </row>
    <row r="289" spans="1:19" x14ac:dyDescent="0.25">
      <c r="A289" t="s">
        <v>364</v>
      </c>
      <c r="B289" s="1">
        <v>45786</v>
      </c>
      <c r="C289" s="1">
        <v>45789</v>
      </c>
      <c r="D289" t="s">
        <v>13</v>
      </c>
      <c r="E289" t="s">
        <v>14</v>
      </c>
      <c r="F289" t="s">
        <v>592</v>
      </c>
      <c r="G289" t="s">
        <v>16</v>
      </c>
      <c r="H289" t="s">
        <v>151</v>
      </c>
      <c r="I289" t="s">
        <v>47</v>
      </c>
      <c r="J289" t="s">
        <v>60</v>
      </c>
      <c r="K289" t="s">
        <v>19</v>
      </c>
      <c r="L289" t="s">
        <v>39</v>
      </c>
      <c r="M289">
        <f t="shared" si="28"/>
        <v>3</v>
      </c>
      <c r="N289">
        <f t="shared" si="29"/>
        <v>7</v>
      </c>
      <c r="O289" t="str">
        <f t="shared" si="30"/>
        <v>Met</v>
      </c>
      <c r="P289" t="str">
        <f t="shared" si="31"/>
        <v>May</v>
      </c>
      <c r="Q289">
        <f t="shared" si="32"/>
        <v>2025</v>
      </c>
      <c r="R289" t="str">
        <f t="shared" si="33"/>
        <v>Closed</v>
      </c>
      <c r="S289" t="str">
        <f t="shared" si="34"/>
        <v>May</v>
      </c>
    </row>
    <row r="290" spans="1:19" x14ac:dyDescent="0.25">
      <c r="A290" t="s">
        <v>365</v>
      </c>
      <c r="B290" s="1">
        <v>45712</v>
      </c>
      <c r="C290" s="1">
        <v>45716</v>
      </c>
      <c r="D290" t="s">
        <v>13</v>
      </c>
      <c r="E290" t="s">
        <v>14</v>
      </c>
      <c r="F290" t="s">
        <v>36</v>
      </c>
      <c r="G290" t="s">
        <v>55</v>
      </c>
      <c r="H290" t="s">
        <v>106</v>
      </c>
      <c r="I290" t="s">
        <v>25</v>
      </c>
      <c r="J290" t="s">
        <v>60</v>
      </c>
      <c r="K290" t="s">
        <v>20</v>
      </c>
      <c r="L290" t="s">
        <v>39</v>
      </c>
      <c r="M290">
        <f t="shared" si="28"/>
        <v>4</v>
      </c>
      <c r="N290">
        <f t="shared" si="29"/>
        <v>7</v>
      </c>
      <c r="O290" t="str">
        <f t="shared" si="30"/>
        <v>Met</v>
      </c>
      <c r="P290" t="str">
        <f t="shared" si="31"/>
        <v>Feb</v>
      </c>
      <c r="Q290">
        <f t="shared" si="32"/>
        <v>2025</v>
      </c>
      <c r="R290" t="str">
        <f t="shared" si="33"/>
        <v>Closed</v>
      </c>
      <c r="S290" t="str">
        <f t="shared" si="34"/>
        <v>Feb</v>
      </c>
    </row>
    <row r="291" spans="1:19" x14ac:dyDescent="0.25">
      <c r="A291" t="s">
        <v>366</v>
      </c>
      <c r="B291" s="1">
        <v>45679</v>
      </c>
      <c r="C291" s="1">
        <v>45679</v>
      </c>
      <c r="D291" t="s">
        <v>28</v>
      </c>
      <c r="E291" t="s">
        <v>29</v>
      </c>
      <c r="F291" t="s">
        <v>66</v>
      </c>
      <c r="G291" t="s">
        <v>42</v>
      </c>
      <c r="H291" t="s">
        <v>151</v>
      </c>
      <c r="I291" t="s">
        <v>17</v>
      </c>
      <c r="J291" t="s">
        <v>34</v>
      </c>
      <c r="K291" t="s">
        <v>39</v>
      </c>
      <c r="L291" t="s">
        <v>39</v>
      </c>
      <c r="M291">
        <f t="shared" si="28"/>
        <v>0</v>
      </c>
      <c r="N291">
        <f t="shared" si="29"/>
        <v>1</v>
      </c>
      <c r="O291" t="str">
        <f t="shared" si="30"/>
        <v>Met</v>
      </c>
      <c r="P291" t="str">
        <f t="shared" si="31"/>
        <v>Jan</v>
      </c>
      <c r="Q291">
        <f t="shared" si="32"/>
        <v>2025</v>
      </c>
      <c r="R291" t="str">
        <f t="shared" si="33"/>
        <v>Closed</v>
      </c>
      <c r="S291" t="str">
        <f t="shared" si="34"/>
        <v>Jan</v>
      </c>
    </row>
    <row r="292" spans="1:19" x14ac:dyDescent="0.25">
      <c r="A292" t="s">
        <v>367</v>
      </c>
      <c r="B292" s="1">
        <v>45815</v>
      </c>
      <c r="C292" s="1">
        <v>45817</v>
      </c>
      <c r="D292" t="s">
        <v>49</v>
      </c>
      <c r="E292" t="s">
        <v>14</v>
      </c>
      <c r="F292" t="s">
        <v>15</v>
      </c>
      <c r="G292" t="s">
        <v>31</v>
      </c>
      <c r="H292" t="s">
        <v>43</v>
      </c>
      <c r="I292" t="s">
        <v>69</v>
      </c>
      <c r="J292" t="s">
        <v>34</v>
      </c>
      <c r="K292" t="s">
        <v>39</v>
      </c>
      <c r="L292" t="s">
        <v>19</v>
      </c>
      <c r="M292">
        <f t="shared" si="28"/>
        <v>2</v>
      </c>
      <c r="N292">
        <f t="shared" si="29"/>
        <v>3</v>
      </c>
      <c r="O292" t="str">
        <f t="shared" si="30"/>
        <v>Met</v>
      </c>
      <c r="P292" t="str">
        <f t="shared" si="31"/>
        <v>Jun</v>
      </c>
      <c r="Q292">
        <f t="shared" si="32"/>
        <v>2025</v>
      </c>
      <c r="R292" t="str">
        <f t="shared" si="33"/>
        <v>Closed</v>
      </c>
      <c r="S292" t="str">
        <f t="shared" si="34"/>
        <v>Jun</v>
      </c>
    </row>
    <row r="293" spans="1:19" x14ac:dyDescent="0.25">
      <c r="A293" t="s">
        <v>368</v>
      </c>
      <c r="B293" s="1">
        <v>45690</v>
      </c>
      <c r="D293" t="s">
        <v>49</v>
      </c>
      <c r="E293" t="s">
        <v>58</v>
      </c>
      <c r="F293" t="s">
        <v>22</v>
      </c>
      <c r="G293" t="s">
        <v>55</v>
      </c>
      <c r="H293" t="s">
        <v>136</v>
      </c>
      <c r="I293" t="s">
        <v>25</v>
      </c>
      <c r="J293" t="s">
        <v>18</v>
      </c>
      <c r="K293" t="s">
        <v>39</v>
      </c>
      <c r="L293" t="s">
        <v>39</v>
      </c>
      <c r="M293" t="str">
        <f t="shared" si="28"/>
        <v/>
      </c>
      <c r="N293">
        <f t="shared" si="29"/>
        <v>3</v>
      </c>
      <c r="O293" t="str">
        <f t="shared" si="30"/>
        <v>Open</v>
      </c>
      <c r="P293" t="str">
        <f t="shared" si="31"/>
        <v>Feb</v>
      </c>
      <c r="Q293">
        <f t="shared" si="32"/>
        <v>2025</v>
      </c>
      <c r="R293" t="str">
        <f t="shared" si="33"/>
        <v>Open</v>
      </c>
      <c r="S293" t="str">
        <f t="shared" si="34"/>
        <v>Open</v>
      </c>
    </row>
    <row r="294" spans="1:19" x14ac:dyDescent="0.25">
      <c r="A294" t="s">
        <v>369</v>
      </c>
      <c r="B294" s="1">
        <v>45660</v>
      </c>
      <c r="C294" s="1">
        <v>45668</v>
      </c>
      <c r="D294" t="s">
        <v>49</v>
      </c>
      <c r="E294" t="s">
        <v>29</v>
      </c>
      <c r="F294" t="s">
        <v>30</v>
      </c>
      <c r="G294" t="s">
        <v>55</v>
      </c>
      <c r="H294" t="s">
        <v>151</v>
      </c>
      <c r="I294" t="s">
        <v>52</v>
      </c>
      <c r="J294" t="s">
        <v>60</v>
      </c>
      <c r="K294" t="s">
        <v>39</v>
      </c>
      <c r="L294" t="s">
        <v>19</v>
      </c>
      <c r="M294">
        <f t="shared" si="28"/>
        <v>8</v>
      </c>
      <c r="N294">
        <f t="shared" si="29"/>
        <v>3</v>
      </c>
      <c r="O294" t="str">
        <f t="shared" si="30"/>
        <v>Breached</v>
      </c>
      <c r="P294" t="str">
        <f t="shared" si="31"/>
        <v>Jan</v>
      </c>
      <c r="Q294">
        <f t="shared" si="32"/>
        <v>2025</v>
      </c>
      <c r="R294" t="str">
        <f t="shared" si="33"/>
        <v>Closed</v>
      </c>
      <c r="S294" t="str">
        <f t="shared" si="34"/>
        <v>Jan</v>
      </c>
    </row>
    <row r="295" spans="1:19" x14ac:dyDescent="0.25">
      <c r="A295" t="s">
        <v>370</v>
      </c>
      <c r="B295" s="1">
        <v>45765</v>
      </c>
      <c r="C295" s="1">
        <v>45769</v>
      </c>
      <c r="D295" t="s">
        <v>45</v>
      </c>
      <c r="E295" t="s">
        <v>29</v>
      </c>
      <c r="F295" t="s">
        <v>36</v>
      </c>
      <c r="G295" t="s">
        <v>55</v>
      </c>
      <c r="H295" t="s">
        <v>59</v>
      </c>
      <c r="I295" t="s">
        <v>38</v>
      </c>
      <c r="J295" t="s">
        <v>34</v>
      </c>
      <c r="K295" t="s">
        <v>19</v>
      </c>
      <c r="L295" t="s">
        <v>19</v>
      </c>
      <c r="M295">
        <f t="shared" si="28"/>
        <v>4</v>
      </c>
      <c r="N295">
        <f t="shared" si="29"/>
        <v>5</v>
      </c>
      <c r="O295" t="str">
        <f t="shared" si="30"/>
        <v>Met</v>
      </c>
      <c r="P295" t="str">
        <f t="shared" si="31"/>
        <v>Apr</v>
      </c>
      <c r="Q295">
        <f t="shared" si="32"/>
        <v>2025</v>
      </c>
      <c r="R295" t="str">
        <f t="shared" si="33"/>
        <v>Closed</v>
      </c>
      <c r="S295" t="str">
        <f t="shared" si="34"/>
        <v>Apr</v>
      </c>
    </row>
    <row r="296" spans="1:19" x14ac:dyDescent="0.25">
      <c r="A296" t="s">
        <v>371</v>
      </c>
      <c r="B296" s="1">
        <v>45775</v>
      </c>
      <c r="C296" s="1">
        <v>45776</v>
      </c>
      <c r="D296" t="s">
        <v>45</v>
      </c>
      <c r="E296" t="s">
        <v>14</v>
      </c>
      <c r="F296" t="s">
        <v>30</v>
      </c>
      <c r="G296" t="s">
        <v>31</v>
      </c>
      <c r="H296" t="s">
        <v>24</v>
      </c>
      <c r="I296" t="s">
        <v>17</v>
      </c>
      <c r="J296" t="s">
        <v>18</v>
      </c>
      <c r="K296" t="s">
        <v>19</v>
      </c>
      <c r="L296" t="s">
        <v>39</v>
      </c>
      <c r="M296">
        <f t="shared" si="28"/>
        <v>1</v>
      </c>
      <c r="N296">
        <f t="shared" si="29"/>
        <v>5</v>
      </c>
      <c r="O296" t="str">
        <f t="shared" si="30"/>
        <v>Met</v>
      </c>
      <c r="P296" t="str">
        <f t="shared" si="31"/>
        <v>Apr</v>
      </c>
      <c r="Q296">
        <f t="shared" si="32"/>
        <v>2025</v>
      </c>
      <c r="R296" t="str">
        <f t="shared" si="33"/>
        <v>Closed</v>
      </c>
      <c r="S296" t="str">
        <f t="shared" si="34"/>
        <v>Apr</v>
      </c>
    </row>
    <row r="297" spans="1:19" x14ac:dyDescent="0.25">
      <c r="A297" t="s">
        <v>372</v>
      </c>
      <c r="B297" s="1">
        <v>45796</v>
      </c>
      <c r="D297" t="s">
        <v>49</v>
      </c>
      <c r="E297" t="s">
        <v>58</v>
      </c>
      <c r="F297" t="s">
        <v>36</v>
      </c>
      <c r="G297" t="s">
        <v>23</v>
      </c>
      <c r="H297" t="s">
        <v>106</v>
      </c>
      <c r="I297" t="s">
        <v>33</v>
      </c>
      <c r="J297" t="s">
        <v>34</v>
      </c>
      <c r="K297" t="s">
        <v>39</v>
      </c>
      <c r="L297" t="s">
        <v>20</v>
      </c>
      <c r="M297" t="str">
        <f t="shared" si="28"/>
        <v/>
      </c>
      <c r="N297">
        <f t="shared" si="29"/>
        <v>3</v>
      </c>
      <c r="O297" t="str">
        <f t="shared" si="30"/>
        <v>Open</v>
      </c>
      <c r="P297" t="str">
        <f t="shared" si="31"/>
        <v>May</v>
      </c>
      <c r="Q297">
        <f t="shared" si="32"/>
        <v>2025</v>
      </c>
      <c r="R297" t="str">
        <f t="shared" si="33"/>
        <v>Open</v>
      </c>
      <c r="S297" t="str">
        <f t="shared" si="34"/>
        <v>Open</v>
      </c>
    </row>
    <row r="298" spans="1:19" x14ac:dyDescent="0.25">
      <c r="A298" t="s">
        <v>373</v>
      </c>
      <c r="B298" s="1">
        <v>45908</v>
      </c>
      <c r="C298" s="1">
        <v>45909</v>
      </c>
      <c r="D298" t="s">
        <v>28</v>
      </c>
      <c r="E298" t="s">
        <v>14</v>
      </c>
      <c r="F298" t="s">
        <v>30</v>
      </c>
      <c r="G298" t="s">
        <v>31</v>
      </c>
      <c r="H298" t="s">
        <v>95</v>
      </c>
      <c r="I298" t="s">
        <v>25</v>
      </c>
      <c r="J298" t="s">
        <v>18</v>
      </c>
      <c r="K298" t="s">
        <v>19</v>
      </c>
      <c r="L298" t="s">
        <v>19</v>
      </c>
      <c r="M298">
        <f t="shared" si="28"/>
        <v>1</v>
      </c>
      <c r="N298">
        <f t="shared" si="29"/>
        <v>1</v>
      </c>
      <c r="O298" t="str">
        <f t="shared" si="30"/>
        <v>Met</v>
      </c>
      <c r="P298" t="str">
        <f t="shared" si="31"/>
        <v>Sep</v>
      </c>
      <c r="Q298">
        <f t="shared" si="32"/>
        <v>2025</v>
      </c>
      <c r="R298" t="str">
        <f t="shared" si="33"/>
        <v>Closed</v>
      </c>
      <c r="S298" t="str">
        <f t="shared" si="34"/>
        <v>Sep</v>
      </c>
    </row>
    <row r="299" spans="1:19" x14ac:dyDescent="0.25">
      <c r="A299" t="s">
        <v>374</v>
      </c>
      <c r="B299" s="1">
        <v>45929</v>
      </c>
      <c r="C299" s="1">
        <v>45935</v>
      </c>
      <c r="D299" t="s">
        <v>49</v>
      </c>
      <c r="E299" t="s">
        <v>29</v>
      </c>
      <c r="F299" t="s">
        <v>592</v>
      </c>
      <c r="G299" t="s">
        <v>55</v>
      </c>
      <c r="H299" t="s">
        <v>591</v>
      </c>
      <c r="I299" t="s">
        <v>52</v>
      </c>
      <c r="J299" t="s">
        <v>18</v>
      </c>
      <c r="K299" t="s">
        <v>19</v>
      </c>
      <c r="L299" t="s">
        <v>19</v>
      </c>
      <c r="M299">
        <f t="shared" si="28"/>
        <v>6</v>
      </c>
      <c r="N299">
        <f t="shared" si="29"/>
        <v>3</v>
      </c>
      <c r="O299" t="str">
        <f t="shared" si="30"/>
        <v>Breached</v>
      </c>
      <c r="P299" t="str">
        <f t="shared" si="31"/>
        <v>Sep</v>
      </c>
      <c r="Q299">
        <f t="shared" si="32"/>
        <v>2025</v>
      </c>
      <c r="R299" t="str">
        <f t="shared" si="33"/>
        <v>Closed</v>
      </c>
      <c r="S299" t="str">
        <f t="shared" si="34"/>
        <v>Oct</v>
      </c>
    </row>
    <row r="300" spans="1:19" x14ac:dyDescent="0.25">
      <c r="A300" t="s">
        <v>375</v>
      </c>
      <c r="B300" s="1">
        <v>45890</v>
      </c>
      <c r="C300" s="1">
        <v>45893</v>
      </c>
      <c r="D300" t="s">
        <v>45</v>
      </c>
      <c r="E300" t="s">
        <v>29</v>
      </c>
      <c r="F300" t="s">
        <v>41</v>
      </c>
      <c r="G300" t="s">
        <v>23</v>
      </c>
      <c r="H300" t="s">
        <v>106</v>
      </c>
      <c r="I300" t="s">
        <v>52</v>
      </c>
      <c r="J300" t="s">
        <v>34</v>
      </c>
      <c r="K300" t="s">
        <v>19</v>
      </c>
      <c r="L300" t="s">
        <v>39</v>
      </c>
      <c r="M300">
        <f t="shared" si="28"/>
        <v>3</v>
      </c>
      <c r="N300">
        <f t="shared" si="29"/>
        <v>5</v>
      </c>
      <c r="O300" t="str">
        <f t="shared" si="30"/>
        <v>Met</v>
      </c>
      <c r="P300" t="str">
        <f t="shared" si="31"/>
        <v>Aug</v>
      </c>
      <c r="Q300">
        <f t="shared" si="32"/>
        <v>2025</v>
      </c>
      <c r="R300" t="str">
        <f t="shared" si="33"/>
        <v>Closed</v>
      </c>
      <c r="S300" t="str">
        <f t="shared" si="34"/>
        <v>Aug</v>
      </c>
    </row>
    <row r="301" spans="1:19" x14ac:dyDescent="0.25">
      <c r="A301" t="s">
        <v>376</v>
      </c>
      <c r="B301" s="1">
        <v>45829</v>
      </c>
      <c r="C301" s="1">
        <v>45830</v>
      </c>
      <c r="D301" t="s">
        <v>49</v>
      </c>
      <c r="E301" t="s">
        <v>14</v>
      </c>
      <c r="F301" t="s">
        <v>592</v>
      </c>
      <c r="G301" t="s">
        <v>16</v>
      </c>
      <c r="H301" t="s">
        <v>51</v>
      </c>
      <c r="I301" t="s">
        <v>17</v>
      </c>
      <c r="J301" t="s">
        <v>26</v>
      </c>
      <c r="K301" t="s">
        <v>39</v>
      </c>
      <c r="L301" t="s">
        <v>19</v>
      </c>
      <c r="M301">
        <f t="shared" si="28"/>
        <v>1</v>
      </c>
      <c r="N301">
        <f t="shared" si="29"/>
        <v>3</v>
      </c>
      <c r="O301" t="str">
        <f t="shared" si="30"/>
        <v>Met</v>
      </c>
      <c r="P301" t="str">
        <f t="shared" si="31"/>
        <v>Jun</v>
      </c>
      <c r="Q301">
        <f t="shared" si="32"/>
        <v>2025</v>
      </c>
      <c r="R301" t="str">
        <f t="shared" si="33"/>
        <v>Closed</v>
      </c>
      <c r="S301" t="str">
        <f t="shared" si="34"/>
        <v>Jun</v>
      </c>
    </row>
    <row r="302" spans="1:19" x14ac:dyDescent="0.25">
      <c r="A302" t="s">
        <v>377</v>
      </c>
      <c r="B302" s="1">
        <v>45902</v>
      </c>
      <c r="C302" s="1">
        <v>45905</v>
      </c>
      <c r="D302" t="s">
        <v>45</v>
      </c>
      <c r="E302" t="s">
        <v>14</v>
      </c>
      <c r="F302" t="s">
        <v>592</v>
      </c>
      <c r="G302" t="s">
        <v>16</v>
      </c>
      <c r="H302" t="s">
        <v>151</v>
      </c>
      <c r="I302" t="s">
        <v>38</v>
      </c>
      <c r="J302" t="s">
        <v>26</v>
      </c>
      <c r="K302" t="s">
        <v>19</v>
      </c>
      <c r="L302" t="s">
        <v>19</v>
      </c>
      <c r="M302">
        <f t="shared" si="28"/>
        <v>3</v>
      </c>
      <c r="N302">
        <f t="shared" si="29"/>
        <v>5</v>
      </c>
      <c r="O302" t="str">
        <f t="shared" si="30"/>
        <v>Met</v>
      </c>
      <c r="P302" t="str">
        <f t="shared" si="31"/>
        <v>Sep</v>
      </c>
      <c r="Q302">
        <f t="shared" si="32"/>
        <v>2025</v>
      </c>
      <c r="R302" t="str">
        <f t="shared" si="33"/>
        <v>Closed</v>
      </c>
      <c r="S302" t="str">
        <f t="shared" si="34"/>
        <v>Sep</v>
      </c>
    </row>
    <row r="303" spans="1:19" x14ac:dyDescent="0.25">
      <c r="A303" t="s">
        <v>378</v>
      </c>
      <c r="B303" s="1">
        <v>45691</v>
      </c>
      <c r="D303" t="s">
        <v>49</v>
      </c>
      <c r="E303" t="s">
        <v>58</v>
      </c>
      <c r="F303" t="s">
        <v>592</v>
      </c>
      <c r="G303" t="s">
        <v>23</v>
      </c>
      <c r="H303" t="s">
        <v>110</v>
      </c>
      <c r="I303" t="s">
        <v>33</v>
      </c>
      <c r="J303" t="s">
        <v>60</v>
      </c>
      <c r="K303" t="s">
        <v>20</v>
      </c>
      <c r="L303" t="s">
        <v>20</v>
      </c>
      <c r="M303" t="str">
        <f t="shared" si="28"/>
        <v/>
      </c>
      <c r="N303">
        <f t="shared" si="29"/>
        <v>3</v>
      </c>
      <c r="O303" t="str">
        <f t="shared" si="30"/>
        <v>Open</v>
      </c>
      <c r="P303" t="str">
        <f t="shared" si="31"/>
        <v>Feb</v>
      </c>
      <c r="Q303">
        <f t="shared" si="32"/>
        <v>2025</v>
      </c>
      <c r="R303" t="str">
        <f t="shared" si="33"/>
        <v>Open</v>
      </c>
      <c r="S303" t="str">
        <f t="shared" si="34"/>
        <v>Open</v>
      </c>
    </row>
    <row r="304" spans="1:19" x14ac:dyDescent="0.25">
      <c r="A304" t="s">
        <v>379</v>
      </c>
      <c r="B304" s="1">
        <v>45935</v>
      </c>
      <c r="C304" s="1">
        <v>45942</v>
      </c>
      <c r="D304" t="s">
        <v>45</v>
      </c>
      <c r="E304" t="s">
        <v>14</v>
      </c>
      <c r="F304" t="s">
        <v>15</v>
      </c>
      <c r="G304" t="s">
        <v>23</v>
      </c>
      <c r="H304" t="s">
        <v>37</v>
      </c>
      <c r="I304" t="s">
        <v>38</v>
      </c>
      <c r="J304" t="s">
        <v>18</v>
      </c>
      <c r="K304" t="s">
        <v>20</v>
      </c>
      <c r="L304" t="s">
        <v>20</v>
      </c>
      <c r="M304">
        <f t="shared" si="28"/>
        <v>7</v>
      </c>
      <c r="N304">
        <f t="shared" si="29"/>
        <v>5</v>
      </c>
      <c r="O304" t="str">
        <f t="shared" si="30"/>
        <v>Breached</v>
      </c>
      <c r="P304" t="str">
        <f t="shared" si="31"/>
        <v>Oct</v>
      </c>
      <c r="Q304">
        <f t="shared" si="32"/>
        <v>2025</v>
      </c>
      <c r="R304" t="str">
        <f t="shared" si="33"/>
        <v>Closed</v>
      </c>
      <c r="S304" t="str">
        <f t="shared" si="34"/>
        <v>Oct</v>
      </c>
    </row>
    <row r="305" spans="1:19" x14ac:dyDescent="0.25">
      <c r="A305" t="s">
        <v>380</v>
      </c>
      <c r="B305" s="1">
        <v>45814</v>
      </c>
      <c r="D305" t="s">
        <v>45</v>
      </c>
      <c r="E305" t="s">
        <v>58</v>
      </c>
      <c r="F305" t="s">
        <v>50</v>
      </c>
      <c r="G305" t="s">
        <v>31</v>
      </c>
      <c r="H305" t="s">
        <v>79</v>
      </c>
      <c r="I305" t="s">
        <v>17</v>
      </c>
      <c r="J305" t="s">
        <v>34</v>
      </c>
      <c r="K305" t="s">
        <v>19</v>
      </c>
      <c r="L305" t="s">
        <v>19</v>
      </c>
      <c r="M305" t="str">
        <f t="shared" si="28"/>
        <v/>
      </c>
      <c r="N305">
        <f t="shared" si="29"/>
        <v>5</v>
      </c>
      <c r="O305" t="str">
        <f t="shared" si="30"/>
        <v>Open</v>
      </c>
      <c r="P305" t="str">
        <f t="shared" si="31"/>
        <v>Jun</v>
      </c>
      <c r="Q305">
        <f t="shared" si="32"/>
        <v>2025</v>
      </c>
      <c r="R305" t="str">
        <f t="shared" si="33"/>
        <v>Open</v>
      </c>
      <c r="S305" t="str">
        <f t="shared" si="34"/>
        <v>Open</v>
      </c>
    </row>
    <row r="306" spans="1:19" x14ac:dyDescent="0.25">
      <c r="A306" t="s">
        <v>381</v>
      </c>
      <c r="B306" s="1">
        <v>45736</v>
      </c>
      <c r="D306" t="s">
        <v>49</v>
      </c>
      <c r="E306" t="s">
        <v>58</v>
      </c>
      <c r="F306" t="s">
        <v>66</v>
      </c>
      <c r="G306" t="s">
        <v>23</v>
      </c>
      <c r="H306" t="s">
        <v>110</v>
      </c>
      <c r="I306" t="s">
        <v>33</v>
      </c>
      <c r="J306" t="s">
        <v>26</v>
      </c>
      <c r="K306" t="s">
        <v>39</v>
      </c>
      <c r="L306" t="s">
        <v>39</v>
      </c>
      <c r="M306" t="str">
        <f t="shared" si="28"/>
        <v/>
      </c>
      <c r="N306">
        <f t="shared" si="29"/>
        <v>3</v>
      </c>
      <c r="O306" t="str">
        <f t="shared" si="30"/>
        <v>Open</v>
      </c>
      <c r="P306" t="str">
        <f t="shared" si="31"/>
        <v>Mar</v>
      </c>
      <c r="Q306">
        <f t="shared" si="32"/>
        <v>2025</v>
      </c>
      <c r="R306" t="str">
        <f t="shared" si="33"/>
        <v>Open</v>
      </c>
      <c r="S306" t="str">
        <f t="shared" si="34"/>
        <v>Open</v>
      </c>
    </row>
    <row r="307" spans="1:19" x14ac:dyDescent="0.25">
      <c r="A307" t="s">
        <v>382</v>
      </c>
      <c r="B307" s="1">
        <v>45913</v>
      </c>
      <c r="C307" s="1">
        <v>45915</v>
      </c>
      <c r="D307" t="s">
        <v>13</v>
      </c>
      <c r="E307" t="s">
        <v>14</v>
      </c>
      <c r="F307" t="s">
        <v>22</v>
      </c>
      <c r="G307" t="s">
        <v>16</v>
      </c>
      <c r="H307" t="s">
        <v>134</v>
      </c>
      <c r="I307" t="s">
        <v>69</v>
      </c>
      <c r="J307" t="s">
        <v>60</v>
      </c>
      <c r="K307" t="s">
        <v>19</v>
      </c>
      <c r="L307" t="s">
        <v>20</v>
      </c>
      <c r="M307">
        <f t="shared" si="28"/>
        <v>2</v>
      </c>
      <c r="N307">
        <f t="shared" si="29"/>
        <v>7</v>
      </c>
      <c r="O307" t="str">
        <f t="shared" si="30"/>
        <v>Met</v>
      </c>
      <c r="P307" t="str">
        <f t="shared" si="31"/>
        <v>Sep</v>
      </c>
      <c r="Q307">
        <f t="shared" si="32"/>
        <v>2025</v>
      </c>
      <c r="R307" t="str">
        <f t="shared" si="33"/>
        <v>Closed</v>
      </c>
      <c r="S307" t="str">
        <f t="shared" si="34"/>
        <v>Sep</v>
      </c>
    </row>
    <row r="308" spans="1:19" x14ac:dyDescent="0.25">
      <c r="A308" t="s">
        <v>383</v>
      </c>
      <c r="B308" s="1">
        <v>45729</v>
      </c>
      <c r="C308" s="1">
        <v>45737</v>
      </c>
      <c r="D308" t="s">
        <v>13</v>
      </c>
      <c r="E308" t="s">
        <v>14</v>
      </c>
      <c r="F308" t="s">
        <v>15</v>
      </c>
      <c r="G308" t="s">
        <v>23</v>
      </c>
      <c r="H308" t="s">
        <v>56</v>
      </c>
      <c r="I308" t="s">
        <v>52</v>
      </c>
      <c r="J308" t="s">
        <v>60</v>
      </c>
      <c r="K308" t="s">
        <v>19</v>
      </c>
      <c r="L308" t="s">
        <v>20</v>
      </c>
      <c r="M308">
        <f t="shared" si="28"/>
        <v>8</v>
      </c>
      <c r="N308">
        <f t="shared" si="29"/>
        <v>7</v>
      </c>
      <c r="O308" t="str">
        <f t="shared" si="30"/>
        <v>Breached</v>
      </c>
      <c r="P308" t="str">
        <f t="shared" si="31"/>
        <v>Mar</v>
      </c>
      <c r="Q308">
        <f t="shared" si="32"/>
        <v>2025</v>
      </c>
      <c r="R308" t="str">
        <f t="shared" si="33"/>
        <v>Closed</v>
      </c>
      <c r="S308" t="str">
        <f t="shared" si="34"/>
        <v>Mar</v>
      </c>
    </row>
    <row r="309" spans="1:19" x14ac:dyDescent="0.25">
      <c r="A309" t="s">
        <v>384</v>
      </c>
      <c r="B309" s="1">
        <v>45820</v>
      </c>
      <c r="C309" s="1">
        <v>45824</v>
      </c>
      <c r="D309" t="s">
        <v>13</v>
      </c>
      <c r="E309" t="s">
        <v>14</v>
      </c>
      <c r="F309" t="s">
        <v>22</v>
      </c>
      <c r="G309" t="s">
        <v>42</v>
      </c>
      <c r="H309" t="s">
        <v>56</v>
      </c>
      <c r="I309" t="s">
        <v>52</v>
      </c>
      <c r="J309" t="s">
        <v>18</v>
      </c>
      <c r="K309" t="s">
        <v>20</v>
      </c>
      <c r="L309" t="s">
        <v>20</v>
      </c>
      <c r="M309">
        <f t="shared" si="28"/>
        <v>4</v>
      </c>
      <c r="N309">
        <f t="shared" si="29"/>
        <v>7</v>
      </c>
      <c r="O309" t="str">
        <f t="shared" si="30"/>
        <v>Met</v>
      </c>
      <c r="P309" t="str">
        <f t="shared" si="31"/>
        <v>Jun</v>
      </c>
      <c r="Q309">
        <f t="shared" si="32"/>
        <v>2025</v>
      </c>
      <c r="R309" t="str">
        <f t="shared" si="33"/>
        <v>Closed</v>
      </c>
      <c r="S309" t="str">
        <f t="shared" si="34"/>
        <v>Jun</v>
      </c>
    </row>
    <row r="310" spans="1:19" x14ac:dyDescent="0.25">
      <c r="A310" t="s">
        <v>385</v>
      </c>
      <c r="B310" s="1">
        <v>45875</v>
      </c>
      <c r="C310" s="1">
        <v>45875</v>
      </c>
      <c r="D310" t="s">
        <v>45</v>
      </c>
      <c r="E310" t="s">
        <v>14</v>
      </c>
      <c r="F310" t="s">
        <v>41</v>
      </c>
      <c r="G310" t="s">
        <v>16</v>
      </c>
      <c r="H310" t="s">
        <v>56</v>
      </c>
      <c r="I310" t="s">
        <v>38</v>
      </c>
      <c r="J310" t="s">
        <v>34</v>
      </c>
      <c r="K310" t="s">
        <v>19</v>
      </c>
      <c r="L310" t="s">
        <v>20</v>
      </c>
      <c r="M310">
        <f t="shared" si="28"/>
        <v>0</v>
      </c>
      <c r="N310">
        <f t="shared" si="29"/>
        <v>5</v>
      </c>
      <c r="O310" t="str">
        <f t="shared" si="30"/>
        <v>Met</v>
      </c>
      <c r="P310" t="str">
        <f t="shared" si="31"/>
        <v>Aug</v>
      </c>
      <c r="Q310">
        <f t="shared" si="32"/>
        <v>2025</v>
      </c>
      <c r="R310" t="str">
        <f t="shared" si="33"/>
        <v>Closed</v>
      </c>
      <c r="S310" t="str">
        <f t="shared" si="34"/>
        <v>Aug</v>
      </c>
    </row>
    <row r="311" spans="1:19" x14ac:dyDescent="0.25">
      <c r="A311" t="s">
        <v>386</v>
      </c>
      <c r="B311" s="1">
        <v>45728</v>
      </c>
      <c r="D311" t="s">
        <v>28</v>
      </c>
      <c r="E311" t="s">
        <v>58</v>
      </c>
      <c r="F311" t="s">
        <v>41</v>
      </c>
      <c r="G311" t="s">
        <v>16</v>
      </c>
      <c r="H311" t="s">
        <v>59</v>
      </c>
      <c r="I311" t="s">
        <v>17</v>
      </c>
      <c r="J311" t="s">
        <v>26</v>
      </c>
      <c r="K311" t="s">
        <v>20</v>
      </c>
      <c r="L311" t="s">
        <v>19</v>
      </c>
      <c r="M311" t="str">
        <f t="shared" si="28"/>
        <v/>
      </c>
      <c r="N311">
        <f t="shared" si="29"/>
        <v>1</v>
      </c>
      <c r="O311" t="str">
        <f t="shared" si="30"/>
        <v>Open</v>
      </c>
      <c r="P311" t="str">
        <f t="shared" si="31"/>
        <v>Mar</v>
      </c>
      <c r="Q311">
        <f t="shared" si="32"/>
        <v>2025</v>
      </c>
      <c r="R311" t="str">
        <f t="shared" si="33"/>
        <v>Open</v>
      </c>
      <c r="S311" t="str">
        <f t="shared" si="34"/>
        <v>Open</v>
      </c>
    </row>
    <row r="312" spans="1:19" x14ac:dyDescent="0.25">
      <c r="A312" t="s">
        <v>387</v>
      </c>
      <c r="B312" s="1">
        <v>45899</v>
      </c>
      <c r="D312" t="s">
        <v>45</v>
      </c>
      <c r="E312" t="s">
        <v>58</v>
      </c>
      <c r="F312" t="s">
        <v>66</v>
      </c>
      <c r="G312" t="s">
        <v>23</v>
      </c>
      <c r="H312" t="s">
        <v>56</v>
      </c>
      <c r="I312" t="s">
        <v>33</v>
      </c>
      <c r="J312" t="s">
        <v>18</v>
      </c>
      <c r="K312" t="s">
        <v>19</v>
      </c>
      <c r="L312" t="s">
        <v>20</v>
      </c>
      <c r="M312" t="str">
        <f t="shared" si="28"/>
        <v/>
      </c>
      <c r="N312">
        <f t="shared" si="29"/>
        <v>5</v>
      </c>
      <c r="O312" t="str">
        <f t="shared" si="30"/>
        <v>Open</v>
      </c>
      <c r="P312" t="str">
        <f t="shared" si="31"/>
        <v>Aug</v>
      </c>
      <c r="Q312">
        <f t="shared" si="32"/>
        <v>2025</v>
      </c>
      <c r="R312" t="str">
        <f t="shared" si="33"/>
        <v>Open</v>
      </c>
      <c r="S312" t="str">
        <f t="shared" si="34"/>
        <v>Open</v>
      </c>
    </row>
    <row r="313" spans="1:19" x14ac:dyDescent="0.25">
      <c r="A313" t="s">
        <v>388</v>
      </c>
      <c r="B313" s="1">
        <v>45979</v>
      </c>
      <c r="C313" s="1">
        <v>45984</v>
      </c>
      <c r="D313" t="s">
        <v>45</v>
      </c>
      <c r="E313" t="s">
        <v>14</v>
      </c>
      <c r="F313" t="s">
        <v>36</v>
      </c>
      <c r="G313" t="s">
        <v>55</v>
      </c>
      <c r="H313" t="s">
        <v>77</v>
      </c>
      <c r="I313" t="s">
        <v>25</v>
      </c>
      <c r="J313" t="s">
        <v>26</v>
      </c>
      <c r="K313" t="s">
        <v>20</v>
      </c>
      <c r="L313" t="s">
        <v>19</v>
      </c>
      <c r="M313">
        <f t="shared" si="28"/>
        <v>5</v>
      </c>
      <c r="N313">
        <f t="shared" si="29"/>
        <v>5</v>
      </c>
      <c r="O313" t="str">
        <f t="shared" si="30"/>
        <v>Met</v>
      </c>
      <c r="P313" t="str">
        <f t="shared" si="31"/>
        <v>Nov</v>
      </c>
      <c r="Q313">
        <f t="shared" si="32"/>
        <v>2025</v>
      </c>
      <c r="R313" t="str">
        <f t="shared" si="33"/>
        <v>Closed</v>
      </c>
      <c r="S313" t="str">
        <f t="shared" si="34"/>
        <v>Nov</v>
      </c>
    </row>
    <row r="314" spans="1:19" x14ac:dyDescent="0.25">
      <c r="A314" t="s">
        <v>390</v>
      </c>
      <c r="B314" s="1">
        <v>45697</v>
      </c>
      <c r="C314" s="1">
        <v>45699</v>
      </c>
      <c r="D314" t="s">
        <v>49</v>
      </c>
      <c r="E314" t="s">
        <v>29</v>
      </c>
      <c r="F314" t="s">
        <v>22</v>
      </c>
      <c r="G314" t="s">
        <v>23</v>
      </c>
      <c r="H314" t="s">
        <v>134</v>
      </c>
      <c r="I314" t="s">
        <v>25</v>
      </c>
      <c r="J314" t="s">
        <v>34</v>
      </c>
      <c r="K314" t="s">
        <v>19</v>
      </c>
      <c r="L314" t="s">
        <v>20</v>
      </c>
      <c r="M314">
        <f t="shared" si="28"/>
        <v>2</v>
      </c>
      <c r="N314">
        <f t="shared" si="29"/>
        <v>3</v>
      </c>
      <c r="O314" t="str">
        <f t="shared" si="30"/>
        <v>Met</v>
      </c>
      <c r="P314" t="str">
        <f t="shared" si="31"/>
        <v>Feb</v>
      </c>
      <c r="Q314">
        <f t="shared" si="32"/>
        <v>2025</v>
      </c>
      <c r="R314" t="str">
        <f t="shared" si="33"/>
        <v>Closed</v>
      </c>
      <c r="S314" t="str">
        <f t="shared" si="34"/>
        <v>Feb</v>
      </c>
    </row>
    <row r="315" spans="1:19" x14ac:dyDescent="0.25">
      <c r="A315" t="s">
        <v>391</v>
      </c>
      <c r="B315" s="1">
        <v>45906</v>
      </c>
      <c r="C315" s="1">
        <v>45907</v>
      </c>
      <c r="D315" t="s">
        <v>49</v>
      </c>
      <c r="E315" t="s">
        <v>29</v>
      </c>
      <c r="F315" t="s">
        <v>15</v>
      </c>
      <c r="G315" t="s">
        <v>55</v>
      </c>
      <c r="H315" t="s">
        <v>106</v>
      </c>
      <c r="I315" t="s">
        <v>47</v>
      </c>
      <c r="J315" t="s">
        <v>18</v>
      </c>
      <c r="K315" t="s">
        <v>19</v>
      </c>
      <c r="L315" t="s">
        <v>19</v>
      </c>
      <c r="M315">
        <f t="shared" si="28"/>
        <v>1</v>
      </c>
      <c r="N315">
        <f t="shared" si="29"/>
        <v>3</v>
      </c>
      <c r="O315" t="str">
        <f t="shared" si="30"/>
        <v>Met</v>
      </c>
      <c r="P315" t="str">
        <f t="shared" si="31"/>
        <v>Sep</v>
      </c>
      <c r="Q315">
        <f t="shared" si="32"/>
        <v>2025</v>
      </c>
      <c r="R315" t="str">
        <f t="shared" si="33"/>
        <v>Closed</v>
      </c>
      <c r="S315" t="str">
        <f t="shared" si="34"/>
        <v>Sep</v>
      </c>
    </row>
    <row r="316" spans="1:19" x14ac:dyDescent="0.25">
      <c r="A316" t="s">
        <v>392</v>
      </c>
      <c r="B316" s="1">
        <v>45833</v>
      </c>
      <c r="D316" t="s">
        <v>28</v>
      </c>
      <c r="E316" t="s">
        <v>58</v>
      </c>
      <c r="F316" t="s">
        <v>15</v>
      </c>
      <c r="G316" t="s">
        <v>31</v>
      </c>
      <c r="H316" t="s">
        <v>56</v>
      </c>
      <c r="I316" t="s">
        <v>25</v>
      </c>
      <c r="J316" t="s">
        <v>60</v>
      </c>
      <c r="K316" t="s">
        <v>20</v>
      </c>
      <c r="L316" t="s">
        <v>20</v>
      </c>
      <c r="M316" t="str">
        <f t="shared" si="28"/>
        <v/>
      </c>
      <c r="N316">
        <f t="shared" si="29"/>
        <v>1</v>
      </c>
      <c r="O316" t="str">
        <f t="shared" si="30"/>
        <v>Open</v>
      </c>
      <c r="P316" t="str">
        <f t="shared" si="31"/>
        <v>Jun</v>
      </c>
      <c r="Q316">
        <f t="shared" si="32"/>
        <v>2025</v>
      </c>
      <c r="R316" t="str">
        <f t="shared" si="33"/>
        <v>Open</v>
      </c>
      <c r="S316" t="str">
        <f t="shared" si="34"/>
        <v>Open</v>
      </c>
    </row>
    <row r="317" spans="1:19" x14ac:dyDescent="0.25">
      <c r="A317" t="s">
        <v>393</v>
      </c>
      <c r="B317" s="1">
        <v>45713</v>
      </c>
      <c r="D317" t="s">
        <v>49</v>
      </c>
      <c r="E317" t="s">
        <v>76</v>
      </c>
      <c r="F317" t="s">
        <v>41</v>
      </c>
      <c r="G317" t="s">
        <v>55</v>
      </c>
      <c r="H317" t="s">
        <v>136</v>
      </c>
      <c r="I317" t="s">
        <v>17</v>
      </c>
      <c r="J317" t="s">
        <v>26</v>
      </c>
      <c r="K317" t="s">
        <v>39</v>
      </c>
      <c r="L317" t="s">
        <v>39</v>
      </c>
      <c r="M317" t="str">
        <f t="shared" si="28"/>
        <v/>
      </c>
      <c r="N317">
        <f t="shared" si="29"/>
        <v>3</v>
      </c>
      <c r="O317" t="str">
        <f t="shared" si="30"/>
        <v>Open</v>
      </c>
      <c r="P317" t="str">
        <f t="shared" si="31"/>
        <v>Feb</v>
      </c>
      <c r="Q317">
        <f t="shared" si="32"/>
        <v>2025</v>
      </c>
      <c r="R317" t="str">
        <f t="shared" si="33"/>
        <v>Open</v>
      </c>
      <c r="S317" t="str">
        <f t="shared" si="34"/>
        <v>Open</v>
      </c>
    </row>
    <row r="318" spans="1:19" x14ac:dyDescent="0.25">
      <c r="A318" t="s">
        <v>394</v>
      </c>
      <c r="B318" s="1">
        <v>45800</v>
      </c>
      <c r="C318" s="1">
        <v>45801</v>
      </c>
      <c r="D318" t="s">
        <v>28</v>
      </c>
      <c r="E318" t="s">
        <v>14</v>
      </c>
      <c r="F318" t="s">
        <v>15</v>
      </c>
      <c r="G318" t="s">
        <v>31</v>
      </c>
      <c r="H318" t="s">
        <v>79</v>
      </c>
      <c r="I318" t="s">
        <v>52</v>
      </c>
      <c r="J318" t="s">
        <v>60</v>
      </c>
      <c r="K318" t="s">
        <v>39</v>
      </c>
      <c r="L318" t="s">
        <v>19</v>
      </c>
      <c r="M318">
        <f t="shared" si="28"/>
        <v>1</v>
      </c>
      <c r="N318">
        <f t="shared" si="29"/>
        <v>1</v>
      </c>
      <c r="O318" t="str">
        <f t="shared" si="30"/>
        <v>Met</v>
      </c>
      <c r="P318" t="str">
        <f t="shared" si="31"/>
        <v>May</v>
      </c>
      <c r="Q318">
        <f t="shared" si="32"/>
        <v>2025</v>
      </c>
      <c r="R318" t="str">
        <f t="shared" si="33"/>
        <v>Closed</v>
      </c>
      <c r="S318" t="str">
        <f t="shared" si="34"/>
        <v>May</v>
      </c>
    </row>
    <row r="319" spans="1:19" x14ac:dyDescent="0.25">
      <c r="A319" t="s">
        <v>396</v>
      </c>
      <c r="B319" s="1">
        <v>45901</v>
      </c>
      <c r="C319" s="1">
        <v>45904</v>
      </c>
      <c r="D319" t="s">
        <v>13</v>
      </c>
      <c r="E319" t="s">
        <v>29</v>
      </c>
      <c r="F319" t="s">
        <v>592</v>
      </c>
      <c r="G319" t="s">
        <v>23</v>
      </c>
      <c r="H319" t="s">
        <v>46</v>
      </c>
      <c r="I319" t="s">
        <v>47</v>
      </c>
      <c r="J319" t="s">
        <v>26</v>
      </c>
      <c r="K319" t="s">
        <v>19</v>
      </c>
      <c r="L319" t="s">
        <v>20</v>
      </c>
      <c r="M319">
        <f t="shared" si="28"/>
        <v>3</v>
      </c>
      <c r="N319">
        <f t="shared" si="29"/>
        <v>7</v>
      </c>
      <c r="O319" t="str">
        <f t="shared" si="30"/>
        <v>Met</v>
      </c>
      <c r="P319" t="str">
        <f t="shared" si="31"/>
        <v>Sep</v>
      </c>
      <c r="Q319">
        <f t="shared" si="32"/>
        <v>2025</v>
      </c>
      <c r="R319" t="str">
        <f t="shared" si="33"/>
        <v>Closed</v>
      </c>
      <c r="S319" t="str">
        <f t="shared" si="34"/>
        <v>Sep</v>
      </c>
    </row>
    <row r="320" spans="1:19" x14ac:dyDescent="0.25">
      <c r="A320" t="s">
        <v>397</v>
      </c>
      <c r="B320" s="1">
        <v>45678</v>
      </c>
      <c r="D320" t="s">
        <v>28</v>
      </c>
      <c r="E320" t="s">
        <v>76</v>
      </c>
      <c r="F320" t="s">
        <v>41</v>
      </c>
      <c r="G320" t="s">
        <v>16</v>
      </c>
      <c r="H320" t="s">
        <v>77</v>
      </c>
      <c r="I320" t="s">
        <v>47</v>
      </c>
      <c r="J320" t="s">
        <v>18</v>
      </c>
      <c r="K320" t="s">
        <v>19</v>
      </c>
      <c r="L320" t="s">
        <v>20</v>
      </c>
      <c r="M320" t="str">
        <f t="shared" si="28"/>
        <v/>
      </c>
      <c r="N320">
        <f t="shared" si="29"/>
        <v>1</v>
      </c>
      <c r="O320" t="str">
        <f t="shared" si="30"/>
        <v>Open</v>
      </c>
      <c r="P320" t="str">
        <f t="shared" si="31"/>
        <v>Jan</v>
      </c>
      <c r="Q320">
        <f t="shared" si="32"/>
        <v>2025</v>
      </c>
      <c r="R320" t="str">
        <f t="shared" si="33"/>
        <v>Open</v>
      </c>
      <c r="S320" t="str">
        <f t="shared" si="34"/>
        <v>Open</v>
      </c>
    </row>
    <row r="321" spans="1:19" x14ac:dyDescent="0.25">
      <c r="A321" t="s">
        <v>398</v>
      </c>
      <c r="B321" s="1">
        <v>46003</v>
      </c>
      <c r="C321" s="1">
        <v>46004</v>
      </c>
      <c r="D321" t="s">
        <v>13</v>
      </c>
      <c r="E321" t="s">
        <v>29</v>
      </c>
      <c r="F321" t="s">
        <v>592</v>
      </c>
      <c r="G321" t="s">
        <v>31</v>
      </c>
      <c r="H321" t="s">
        <v>32</v>
      </c>
      <c r="I321" t="s">
        <v>25</v>
      </c>
      <c r="J321" t="s">
        <v>34</v>
      </c>
      <c r="K321" t="s">
        <v>20</v>
      </c>
      <c r="L321" t="s">
        <v>19</v>
      </c>
      <c r="M321">
        <f t="shared" si="28"/>
        <v>1</v>
      </c>
      <c r="N321">
        <f t="shared" si="29"/>
        <v>7</v>
      </c>
      <c r="O321" t="str">
        <f t="shared" si="30"/>
        <v>Met</v>
      </c>
      <c r="P321" t="str">
        <f t="shared" si="31"/>
        <v>Dec</v>
      </c>
      <c r="Q321">
        <f t="shared" si="32"/>
        <v>2025</v>
      </c>
      <c r="R321" t="str">
        <f t="shared" si="33"/>
        <v>Closed</v>
      </c>
      <c r="S321" t="str">
        <f t="shared" si="34"/>
        <v>Dec</v>
      </c>
    </row>
    <row r="322" spans="1:19" x14ac:dyDescent="0.25">
      <c r="A322" t="s">
        <v>399</v>
      </c>
      <c r="B322" s="1">
        <v>45955</v>
      </c>
      <c r="C322" s="1">
        <v>45955</v>
      </c>
      <c r="D322" t="s">
        <v>28</v>
      </c>
      <c r="E322" t="s">
        <v>29</v>
      </c>
      <c r="F322" t="s">
        <v>50</v>
      </c>
      <c r="G322" t="s">
        <v>31</v>
      </c>
      <c r="H322" t="s">
        <v>110</v>
      </c>
      <c r="I322" t="s">
        <v>47</v>
      </c>
      <c r="J322" t="s">
        <v>60</v>
      </c>
      <c r="K322" t="s">
        <v>20</v>
      </c>
      <c r="L322" t="s">
        <v>19</v>
      </c>
      <c r="M322">
        <f t="shared" ref="M322:M385" si="35">IF(C322="","",C322-B322)</f>
        <v>0</v>
      </c>
      <c r="N322">
        <f t="shared" ref="N322:N385" si="36">IF(D322="P1",1,
IF(D322="P2",3,
IF(D322="P3",5,7)))</f>
        <v>1</v>
      </c>
      <c r="O322" t="str">
        <f t="shared" ref="O322:O385" si="37">IF(C322="","Open",
IF(M322&lt;=N322, "Met", "Breached"))</f>
        <v>Met</v>
      </c>
      <c r="P322" t="str">
        <f t="shared" ref="P322:P385" si="38">TEXT(B322,"mmm")</f>
        <v>Oct</v>
      </c>
      <c r="Q322">
        <f t="shared" ref="Q322:Q385" si="39">YEAR(B322)</f>
        <v>2025</v>
      </c>
      <c r="R322" t="str">
        <f t="shared" ref="R322:R385" si="40">IF(C322="","Open","Closed")</f>
        <v>Closed</v>
      </c>
      <c r="S322" t="str">
        <f t="shared" ref="S322:S385" si="41">IF(C322="","Open",TEXT(C322,"mmm"))</f>
        <v>Oct</v>
      </c>
    </row>
    <row r="323" spans="1:19" x14ac:dyDescent="0.25">
      <c r="A323" t="s">
        <v>400</v>
      </c>
      <c r="B323" s="1">
        <v>45749</v>
      </c>
      <c r="C323" s="1">
        <v>45755</v>
      </c>
      <c r="D323" t="s">
        <v>28</v>
      </c>
      <c r="E323" t="s">
        <v>29</v>
      </c>
      <c r="F323" t="s">
        <v>41</v>
      </c>
      <c r="G323" t="s">
        <v>23</v>
      </c>
      <c r="H323" t="s">
        <v>51</v>
      </c>
      <c r="I323" t="s">
        <v>38</v>
      </c>
      <c r="J323" t="s">
        <v>60</v>
      </c>
      <c r="K323" t="s">
        <v>20</v>
      </c>
      <c r="L323" t="s">
        <v>20</v>
      </c>
      <c r="M323">
        <f t="shared" si="35"/>
        <v>6</v>
      </c>
      <c r="N323">
        <f t="shared" si="36"/>
        <v>1</v>
      </c>
      <c r="O323" t="str">
        <f t="shared" si="37"/>
        <v>Breached</v>
      </c>
      <c r="P323" t="str">
        <f t="shared" si="38"/>
        <v>Apr</v>
      </c>
      <c r="Q323">
        <f t="shared" si="39"/>
        <v>2025</v>
      </c>
      <c r="R323" t="str">
        <f t="shared" si="40"/>
        <v>Closed</v>
      </c>
      <c r="S323" t="str">
        <f t="shared" si="41"/>
        <v>Apr</v>
      </c>
    </row>
    <row r="324" spans="1:19" x14ac:dyDescent="0.25">
      <c r="A324" t="s">
        <v>401</v>
      </c>
      <c r="B324" s="1">
        <v>45850</v>
      </c>
      <c r="C324" s="1">
        <v>45855</v>
      </c>
      <c r="D324" t="s">
        <v>13</v>
      </c>
      <c r="E324" t="s">
        <v>29</v>
      </c>
      <c r="F324" t="s">
        <v>66</v>
      </c>
      <c r="G324" t="s">
        <v>55</v>
      </c>
      <c r="H324" t="s">
        <v>151</v>
      </c>
      <c r="I324" t="s">
        <v>38</v>
      </c>
      <c r="J324" t="s">
        <v>34</v>
      </c>
      <c r="K324" t="s">
        <v>19</v>
      </c>
      <c r="L324" t="s">
        <v>39</v>
      </c>
      <c r="M324">
        <f t="shared" si="35"/>
        <v>5</v>
      </c>
      <c r="N324">
        <f t="shared" si="36"/>
        <v>7</v>
      </c>
      <c r="O324" t="str">
        <f t="shared" si="37"/>
        <v>Met</v>
      </c>
      <c r="P324" t="str">
        <f t="shared" si="38"/>
        <v>Jul</v>
      </c>
      <c r="Q324">
        <f t="shared" si="39"/>
        <v>2025</v>
      </c>
      <c r="R324" t="str">
        <f t="shared" si="40"/>
        <v>Closed</v>
      </c>
      <c r="S324" t="str">
        <f t="shared" si="41"/>
        <v>Jul</v>
      </c>
    </row>
    <row r="325" spans="1:19" x14ac:dyDescent="0.25">
      <c r="A325" t="s">
        <v>402</v>
      </c>
      <c r="B325" s="1">
        <v>45911</v>
      </c>
      <c r="C325" s="1">
        <v>45913</v>
      </c>
      <c r="D325" t="s">
        <v>45</v>
      </c>
      <c r="E325" t="s">
        <v>29</v>
      </c>
      <c r="F325" t="s">
        <v>36</v>
      </c>
      <c r="G325" t="s">
        <v>16</v>
      </c>
      <c r="H325" t="s">
        <v>591</v>
      </c>
      <c r="I325" t="s">
        <v>38</v>
      </c>
      <c r="J325" t="s">
        <v>60</v>
      </c>
      <c r="K325" t="s">
        <v>20</v>
      </c>
      <c r="L325" t="s">
        <v>20</v>
      </c>
      <c r="M325">
        <f t="shared" si="35"/>
        <v>2</v>
      </c>
      <c r="N325">
        <f t="shared" si="36"/>
        <v>5</v>
      </c>
      <c r="O325" t="str">
        <f t="shared" si="37"/>
        <v>Met</v>
      </c>
      <c r="P325" t="str">
        <f t="shared" si="38"/>
        <v>Sep</v>
      </c>
      <c r="Q325">
        <f t="shared" si="39"/>
        <v>2025</v>
      </c>
      <c r="R325" t="str">
        <f t="shared" si="40"/>
        <v>Closed</v>
      </c>
      <c r="S325" t="str">
        <f t="shared" si="41"/>
        <v>Sep</v>
      </c>
    </row>
    <row r="326" spans="1:19" x14ac:dyDescent="0.25">
      <c r="A326" t="s">
        <v>403</v>
      </c>
      <c r="B326" s="1">
        <v>45868</v>
      </c>
      <c r="C326" s="1">
        <v>45874</v>
      </c>
      <c r="D326" t="s">
        <v>13</v>
      </c>
      <c r="E326" t="s">
        <v>29</v>
      </c>
      <c r="F326" t="s">
        <v>15</v>
      </c>
      <c r="G326" t="s">
        <v>55</v>
      </c>
      <c r="H326" t="s">
        <v>77</v>
      </c>
      <c r="I326" t="s">
        <v>69</v>
      </c>
      <c r="J326" t="s">
        <v>60</v>
      </c>
      <c r="K326" t="s">
        <v>19</v>
      </c>
      <c r="L326" t="s">
        <v>20</v>
      </c>
      <c r="M326">
        <f t="shared" si="35"/>
        <v>6</v>
      </c>
      <c r="N326">
        <f t="shared" si="36"/>
        <v>7</v>
      </c>
      <c r="O326" t="str">
        <f t="shared" si="37"/>
        <v>Met</v>
      </c>
      <c r="P326" t="str">
        <f t="shared" si="38"/>
        <v>Jul</v>
      </c>
      <c r="Q326">
        <f t="shared" si="39"/>
        <v>2025</v>
      </c>
      <c r="R326" t="str">
        <f t="shared" si="40"/>
        <v>Closed</v>
      </c>
      <c r="S326" t="str">
        <f t="shared" si="41"/>
        <v>Aug</v>
      </c>
    </row>
    <row r="327" spans="1:19" x14ac:dyDescent="0.25">
      <c r="A327" t="s">
        <v>404</v>
      </c>
      <c r="B327" s="1">
        <v>45820</v>
      </c>
      <c r="C327" s="1">
        <v>45821</v>
      </c>
      <c r="D327" t="s">
        <v>28</v>
      </c>
      <c r="E327" t="s">
        <v>29</v>
      </c>
      <c r="F327" t="s">
        <v>30</v>
      </c>
      <c r="G327" t="s">
        <v>16</v>
      </c>
      <c r="H327" t="s">
        <v>77</v>
      </c>
      <c r="I327" t="s">
        <v>47</v>
      </c>
      <c r="J327" t="s">
        <v>34</v>
      </c>
      <c r="K327" t="s">
        <v>20</v>
      </c>
      <c r="L327" t="s">
        <v>20</v>
      </c>
      <c r="M327">
        <f t="shared" si="35"/>
        <v>1</v>
      </c>
      <c r="N327">
        <f t="shared" si="36"/>
        <v>1</v>
      </c>
      <c r="O327" t="str">
        <f t="shared" si="37"/>
        <v>Met</v>
      </c>
      <c r="P327" t="str">
        <f t="shared" si="38"/>
        <v>Jun</v>
      </c>
      <c r="Q327">
        <f t="shared" si="39"/>
        <v>2025</v>
      </c>
      <c r="R327" t="str">
        <f t="shared" si="40"/>
        <v>Closed</v>
      </c>
      <c r="S327" t="str">
        <f t="shared" si="41"/>
        <v>Jun</v>
      </c>
    </row>
    <row r="328" spans="1:19" x14ac:dyDescent="0.25">
      <c r="A328" t="s">
        <v>405</v>
      </c>
      <c r="B328" s="1">
        <v>45951</v>
      </c>
      <c r="C328" s="1">
        <v>45952</v>
      </c>
      <c r="D328" t="s">
        <v>45</v>
      </c>
      <c r="E328" t="s">
        <v>29</v>
      </c>
      <c r="F328" t="s">
        <v>22</v>
      </c>
      <c r="G328" t="s">
        <v>23</v>
      </c>
      <c r="H328" t="s">
        <v>106</v>
      </c>
      <c r="I328" t="s">
        <v>38</v>
      </c>
      <c r="J328" t="s">
        <v>26</v>
      </c>
      <c r="K328" t="s">
        <v>39</v>
      </c>
      <c r="L328" t="s">
        <v>20</v>
      </c>
      <c r="M328">
        <f t="shared" si="35"/>
        <v>1</v>
      </c>
      <c r="N328">
        <f t="shared" si="36"/>
        <v>5</v>
      </c>
      <c r="O328" t="str">
        <f t="shared" si="37"/>
        <v>Met</v>
      </c>
      <c r="P328" t="str">
        <f t="shared" si="38"/>
        <v>Oct</v>
      </c>
      <c r="Q328">
        <f t="shared" si="39"/>
        <v>2025</v>
      </c>
      <c r="R328" t="str">
        <f t="shared" si="40"/>
        <v>Closed</v>
      </c>
      <c r="S328" t="str">
        <f t="shared" si="41"/>
        <v>Oct</v>
      </c>
    </row>
    <row r="329" spans="1:19" x14ac:dyDescent="0.25">
      <c r="A329" t="s">
        <v>406</v>
      </c>
      <c r="B329" s="1">
        <v>45977</v>
      </c>
      <c r="C329" s="1">
        <v>45978</v>
      </c>
      <c r="D329" t="s">
        <v>28</v>
      </c>
      <c r="E329" t="s">
        <v>29</v>
      </c>
      <c r="F329" t="s">
        <v>41</v>
      </c>
      <c r="G329" t="s">
        <v>16</v>
      </c>
      <c r="H329" t="s">
        <v>77</v>
      </c>
      <c r="I329" t="s">
        <v>33</v>
      </c>
      <c r="J329" t="s">
        <v>34</v>
      </c>
      <c r="K329" t="s">
        <v>20</v>
      </c>
      <c r="L329" t="s">
        <v>20</v>
      </c>
      <c r="M329">
        <f t="shared" si="35"/>
        <v>1</v>
      </c>
      <c r="N329">
        <f t="shared" si="36"/>
        <v>1</v>
      </c>
      <c r="O329" t="str">
        <f t="shared" si="37"/>
        <v>Met</v>
      </c>
      <c r="P329" t="str">
        <f t="shared" si="38"/>
        <v>Nov</v>
      </c>
      <c r="Q329">
        <f t="shared" si="39"/>
        <v>2025</v>
      </c>
      <c r="R329" t="str">
        <f t="shared" si="40"/>
        <v>Closed</v>
      </c>
      <c r="S329" t="str">
        <f t="shared" si="41"/>
        <v>Nov</v>
      </c>
    </row>
    <row r="330" spans="1:19" x14ac:dyDescent="0.25">
      <c r="A330" t="s">
        <v>407</v>
      </c>
      <c r="B330" s="1">
        <v>45735</v>
      </c>
      <c r="C330" s="1">
        <v>45737</v>
      </c>
      <c r="D330" t="s">
        <v>49</v>
      </c>
      <c r="E330" t="s">
        <v>14</v>
      </c>
      <c r="F330" t="s">
        <v>30</v>
      </c>
      <c r="G330" t="s">
        <v>16</v>
      </c>
      <c r="H330" t="s">
        <v>59</v>
      </c>
      <c r="I330" t="s">
        <v>25</v>
      </c>
      <c r="J330" t="s">
        <v>34</v>
      </c>
      <c r="K330" t="s">
        <v>20</v>
      </c>
      <c r="L330" t="s">
        <v>20</v>
      </c>
      <c r="M330">
        <f t="shared" si="35"/>
        <v>2</v>
      </c>
      <c r="N330">
        <f t="shared" si="36"/>
        <v>3</v>
      </c>
      <c r="O330" t="str">
        <f t="shared" si="37"/>
        <v>Met</v>
      </c>
      <c r="P330" t="str">
        <f t="shared" si="38"/>
        <v>Mar</v>
      </c>
      <c r="Q330">
        <f t="shared" si="39"/>
        <v>2025</v>
      </c>
      <c r="R330" t="str">
        <f t="shared" si="40"/>
        <v>Closed</v>
      </c>
      <c r="S330" t="str">
        <f t="shared" si="41"/>
        <v>Mar</v>
      </c>
    </row>
    <row r="331" spans="1:19" x14ac:dyDescent="0.25">
      <c r="A331" t="s">
        <v>408</v>
      </c>
      <c r="B331" s="1">
        <v>45881</v>
      </c>
      <c r="C331" s="1">
        <v>45882</v>
      </c>
      <c r="D331" t="s">
        <v>28</v>
      </c>
      <c r="E331" t="s">
        <v>29</v>
      </c>
      <c r="F331" t="s">
        <v>50</v>
      </c>
      <c r="G331" t="s">
        <v>42</v>
      </c>
      <c r="H331" t="s">
        <v>73</v>
      </c>
      <c r="I331" t="s">
        <v>69</v>
      </c>
      <c r="J331" t="s">
        <v>26</v>
      </c>
      <c r="K331" t="s">
        <v>39</v>
      </c>
      <c r="L331" t="s">
        <v>20</v>
      </c>
      <c r="M331">
        <f t="shared" si="35"/>
        <v>1</v>
      </c>
      <c r="N331">
        <f t="shared" si="36"/>
        <v>1</v>
      </c>
      <c r="O331" t="str">
        <f t="shared" si="37"/>
        <v>Met</v>
      </c>
      <c r="P331" t="str">
        <f t="shared" si="38"/>
        <v>Aug</v>
      </c>
      <c r="Q331">
        <f t="shared" si="39"/>
        <v>2025</v>
      </c>
      <c r="R331" t="str">
        <f t="shared" si="40"/>
        <v>Closed</v>
      </c>
      <c r="S331" t="str">
        <f t="shared" si="41"/>
        <v>Aug</v>
      </c>
    </row>
    <row r="332" spans="1:19" x14ac:dyDescent="0.25">
      <c r="A332" t="s">
        <v>409</v>
      </c>
      <c r="B332" s="1">
        <v>46001</v>
      </c>
      <c r="C332" s="1">
        <v>46006</v>
      </c>
      <c r="D332" t="s">
        <v>28</v>
      </c>
      <c r="E332" t="s">
        <v>14</v>
      </c>
      <c r="F332" t="s">
        <v>15</v>
      </c>
      <c r="G332" t="s">
        <v>23</v>
      </c>
      <c r="H332" t="s">
        <v>56</v>
      </c>
      <c r="I332" t="s">
        <v>47</v>
      </c>
      <c r="J332" t="s">
        <v>26</v>
      </c>
      <c r="K332" t="s">
        <v>20</v>
      </c>
      <c r="L332" t="s">
        <v>19</v>
      </c>
      <c r="M332">
        <f t="shared" si="35"/>
        <v>5</v>
      </c>
      <c r="N332">
        <f t="shared" si="36"/>
        <v>1</v>
      </c>
      <c r="O332" t="str">
        <f t="shared" si="37"/>
        <v>Breached</v>
      </c>
      <c r="P332" t="str">
        <f t="shared" si="38"/>
        <v>Dec</v>
      </c>
      <c r="Q332">
        <f t="shared" si="39"/>
        <v>2025</v>
      </c>
      <c r="R332" t="str">
        <f t="shared" si="40"/>
        <v>Closed</v>
      </c>
      <c r="S332" t="str">
        <f t="shared" si="41"/>
        <v>Dec</v>
      </c>
    </row>
    <row r="333" spans="1:19" x14ac:dyDescent="0.25">
      <c r="A333" t="s">
        <v>410</v>
      </c>
      <c r="B333" s="1">
        <v>45778</v>
      </c>
      <c r="C333" s="1">
        <v>45781</v>
      </c>
      <c r="D333" t="s">
        <v>49</v>
      </c>
      <c r="E333" t="s">
        <v>14</v>
      </c>
      <c r="F333" t="s">
        <v>50</v>
      </c>
      <c r="G333" t="s">
        <v>55</v>
      </c>
      <c r="H333" t="s">
        <v>77</v>
      </c>
      <c r="I333" t="s">
        <v>69</v>
      </c>
      <c r="J333" t="s">
        <v>34</v>
      </c>
      <c r="K333" t="s">
        <v>20</v>
      </c>
      <c r="L333" t="s">
        <v>20</v>
      </c>
      <c r="M333">
        <f t="shared" si="35"/>
        <v>3</v>
      </c>
      <c r="N333">
        <f t="shared" si="36"/>
        <v>3</v>
      </c>
      <c r="O333" t="str">
        <f t="shared" si="37"/>
        <v>Met</v>
      </c>
      <c r="P333" t="str">
        <f t="shared" si="38"/>
        <v>May</v>
      </c>
      <c r="Q333">
        <f t="shared" si="39"/>
        <v>2025</v>
      </c>
      <c r="R333" t="str">
        <f t="shared" si="40"/>
        <v>Closed</v>
      </c>
      <c r="S333" t="str">
        <f t="shared" si="41"/>
        <v>May</v>
      </c>
    </row>
    <row r="334" spans="1:19" x14ac:dyDescent="0.25">
      <c r="A334" t="s">
        <v>411</v>
      </c>
      <c r="B334" s="1">
        <v>45815</v>
      </c>
      <c r="D334" t="s">
        <v>28</v>
      </c>
      <c r="E334" t="s">
        <v>76</v>
      </c>
      <c r="F334" t="s">
        <v>36</v>
      </c>
      <c r="G334" t="s">
        <v>23</v>
      </c>
      <c r="H334" t="s">
        <v>92</v>
      </c>
      <c r="I334" t="s">
        <v>33</v>
      </c>
      <c r="J334" t="s">
        <v>34</v>
      </c>
      <c r="K334" t="s">
        <v>20</v>
      </c>
      <c r="L334" t="s">
        <v>20</v>
      </c>
      <c r="M334" t="str">
        <f t="shared" si="35"/>
        <v/>
      </c>
      <c r="N334">
        <f t="shared" si="36"/>
        <v>1</v>
      </c>
      <c r="O334" t="str">
        <f t="shared" si="37"/>
        <v>Open</v>
      </c>
      <c r="P334" t="str">
        <f t="shared" si="38"/>
        <v>Jun</v>
      </c>
      <c r="Q334">
        <f t="shared" si="39"/>
        <v>2025</v>
      </c>
      <c r="R334" t="str">
        <f t="shared" si="40"/>
        <v>Open</v>
      </c>
      <c r="S334" t="str">
        <f t="shared" si="41"/>
        <v>Open</v>
      </c>
    </row>
    <row r="335" spans="1:19" x14ac:dyDescent="0.25">
      <c r="A335" t="s">
        <v>412</v>
      </c>
      <c r="B335" s="1">
        <v>45709</v>
      </c>
      <c r="C335" s="1">
        <v>45711</v>
      </c>
      <c r="D335" t="s">
        <v>49</v>
      </c>
      <c r="E335" t="s">
        <v>14</v>
      </c>
      <c r="F335" t="s">
        <v>22</v>
      </c>
      <c r="G335" t="s">
        <v>42</v>
      </c>
      <c r="H335" t="s">
        <v>110</v>
      </c>
      <c r="I335" t="s">
        <v>52</v>
      </c>
      <c r="J335" t="s">
        <v>26</v>
      </c>
      <c r="K335" t="s">
        <v>20</v>
      </c>
      <c r="L335" t="s">
        <v>19</v>
      </c>
      <c r="M335">
        <f t="shared" si="35"/>
        <v>2</v>
      </c>
      <c r="N335">
        <f t="shared" si="36"/>
        <v>3</v>
      </c>
      <c r="O335" t="str">
        <f t="shared" si="37"/>
        <v>Met</v>
      </c>
      <c r="P335" t="str">
        <f t="shared" si="38"/>
        <v>Feb</v>
      </c>
      <c r="Q335">
        <f t="shared" si="39"/>
        <v>2025</v>
      </c>
      <c r="R335" t="str">
        <f t="shared" si="40"/>
        <v>Closed</v>
      </c>
      <c r="S335" t="str">
        <f t="shared" si="41"/>
        <v>Feb</v>
      </c>
    </row>
    <row r="336" spans="1:19" x14ac:dyDescent="0.25">
      <c r="A336" t="s">
        <v>413</v>
      </c>
      <c r="B336" s="1">
        <v>45738</v>
      </c>
      <c r="D336" t="s">
        <v>45</v>
      </c>
      <c r="E336" t="s">
        <v>58</v>
      </c>
      <c r="F336" t="s">
        <v>66</v>
      </c>
      <c r="G336" t="s">
        <v>42</v>
      </c>
      <c r="H336" t="s">
        <v>110</v>
      </c>
      <c r="I336" t="s">
        <v>47</v>
      </c>
      <c r="J336" t="s">
        <v>26</v>
      </c>
      <c r="K336" t="s">
        <v>39</v>
      </c>
      <c r="L336" t="s">
        <v>39</v>
      </c>
      <c r="M336" t="str">
        <f t="shared" si="35"/>
        <v/>
      </c>
      <c r="N336">
        <f t="shared" si="36"/>
        <v>5</v>
      </c>
      <c r="O336" t="str">
        <f t="shared" si="37"/>
        <v>Open</v>
      </c>
      <c r="P336" t="str">
        <f t="shared" si="38"/>
        <v>Mar</v>
      </c>
      <c r="Q336">
        <f t="shared" si="39"/>
        <v>2025</v>
      </c>
      <c r="R336" t="str">
        <f t="shared" si="40"/>
        <v>Open</v>
      </c>
      <c r="S336" t="str">
        <f t="shared" si="41"/>
        <v>Open</v>
      </c>
    </row>
    <row r="337" spans="1:19" x14ac:dyDescent="0.25">
      <c r="A337" t="s">
        <v>414</v>
      </c>
      <c r="B337" s="1">
        <v>45751</v>
      </c>
      <c r="C337" s="1">
        <v>45754</v>
      </c>
      <c r="D337" t="s">
        <v>45</v>
      </c>
      <c r="E337" t="s">
        <v>29</v>
      </c>
      <c r="F337" t="s">
        <v>30</v>
      </c>
      <c r="G337" t="s">
        <v>31</v>
      </c>
      <c r="H337" t="s">
        <v>136</v>
      </c>
      <c r="I337" t="s">
        <v>17</v>
      </c>
      <c r="J337" t="s">
        <v>60</v>
      </c>
      <c r="K337" t="s">
        <v>20</v>
      </c>
      <c r="L337" t="s">
        <v>39</v>
      </c>
      <c r="M337">
        <f t="shared" si="35"/>
        <v>3</v>
      </c>
      <c r="N337">
        <f t="shared" si="36"/>
        <v>5</v>
      </c>
      <c r="O337" t="str">
        <f t="shared" si="37"/>
        <v>Met</v>
      </c>
      <c r="P337" t="str">
        <f t="shared" si="38"/>
        <v>Apr</v>
      </c>
      <c r="Q337">
        <f t="shared" si="39"/>
        <v>2025</v>
      </c>
      <c r="R337" t="str">
        <f t="shared" si="40"/>
        <v>Closed</v>
      </c>
      <c r="S337" t="str">
        <f t="shared" si="41"/>
        <v>Apr</v>
      </c>
    </row>
    <row r="338" spans="1:19" x14ac:dyDescent="0.25">
      <c r="A338" t="s">
        <v>415</v>
      </c>
      <c r="B338" s="1">
        <v>45718</v>
      </c>
      <c r="D338" t="s">
        <v>13</v>
      </c>
      <c r="E338" t="s">
        <v>76</v>
      </c>
      <c r="F338" t="s">
        <v>41</v>
      </c>
      <c r="G338" t="s">
        <v>23</v>
      </c>
      <c r="H338" t="s">
        <v>151</v>
      </c>
      <c r="I338" t="s">
        <v>47</v>
      </c>
      <c r="J338" t="s">
        <v>34</v>
      </c>
      <c r="K338" t="s">
        <v>19</v>
      </c>
      <c r="L338" t="s">
        <v>39</v>
      </c>
      <c r="M338" t="str">
        <f t="shared" si="35"/>
        <v/>
      </c>
      <c r="N338">
        <f t="shared" si="36"/>
        <v>7</v>
      </c>
      <c r="O338" t="str">
        <f t="shared" si="37"/>
        <v>Open</v>
      </c>
      <c r="P338" t="str">
        <f t="shared" si="38"/>
        <v>Mar</v>
      </c>
      <c r="Q338">
        <f t="shared" si="39"/>
        <v>2025</v>
      </c>
      <c r="R338" t="str">
        <f t="shared" si="40"/>
        <v>Open</v>
      </c>
      <c r="S338" t="str">
        <f t="shared" si="41"/>
        <v>Open</v>
      </c>
    </row>
    <row r="339" spans="1:19" x14ac:dyDescent="0.25">
      <c r="A339" t="s">
        <v>416</v>
      </c>
      <c r="B339" s="1">
        <v>45802</v>
      </c>
      <c r="C339" s="1">
        <v>45806</v>
      </c>
      <c r="D339" t="s">
        <v>45</v>
      </c>
      <c r="E339" t="s">
        <v>14</v>
      </c>
      <c r="F339" t="s">
        <v>50</v>
      </c>
      <c r="G339" t="s">
        <v>42</v>
      </c>
      <c r="H339" t="s">
        <v>151</v>
      </c>
      <c r="I339" t="s">
        <v>52</v>
      </c>
      <c r="J339" t="s">
        <v>18</v>
      </c>
      <c r="K339" t="s">
        <v>19</v>
      </c>
      <c r="L339" t="s">
        <v>39</v>
      </c>
      <c r="M339">
        <f t="shared" si="35"/>
        <v>4</v>
      </c>
      <c r="N339">
        <f t="shared" si="36"/>
        <v>5</v>
      </c>
      <c r="O339" t="str">
        <f t="shared" si="37"/>
        <v>Met</v>
      </c>
      <c r="P339" t="str">
        <f t="shared" si="38"/>
        <v>May</v>
      </c>
      <c r="Q339">
        <f t="shared" si="39"/>
        <v>2025</v>
      </c>
      <c r="R339" t="str">
        <f t="shared" si="40"/>
        <v>Closed</v>
      </c>
      <c r="S339" t="str">
        <f t="shared" si="41"/>
        <v>May</v>
      </c>
    </row>
    <row r="340" spans="1:19" x14ac:dyDescent="0.25">
      <c r="A340" t="s">
        <v>417</v>
      </c>
      <c r="B340" s="1">
        <v>46020</v>
      </c>
      <c r="C340" s="1">
        <v>46022</v>
      </c>
      <c r="D340" t="s">
        <v>13</v>
      </c>
      <c r="E340" t="s">
        <v>29</v>
      </c>
      <c r="F340" t="s">
        <v>41</v>
      </c>
      <c r="G340" t="s">
        <v>16</v>
      </c>
      <c r="H340" t="s">
        <v>73</v>
      </c>
      <c r="I340" t="s">
        <v>69</v>
      </c>
      <c r="J340" t="s">
        <v>18</v>
      </c>
      <c r="K340" t="s">
        <v>19</v>
      </c>
      <c r="L340" t="s">
        <v>20</v>
      </c>
      <c r="M340">
        <f t="shared" si="35"/>
        <v>2</v>
      </c>
      <c r="N340">
        <f t="shared" si="36"/>
        <v>7</v>
      </c>
      <c r="O340" t="str">
        <f t="shared" si="37"/>
        <v>Met</v>
      </c>
      <c r="P340" t="str">
        <f t="shared" si="38"/>
        <v>Dec</v>
      </c>
      <c r="Q340">
        <f t="shared" si="39"/>
        <v>2025</v>
      </c>
      <c r="R340" t="str">
        <f t="shared" si="40"/>
        <v>Closed</v>
      </c>
      <c r="S340" t="str">
        <f t="shared" si="41"/>
        <v>Dec</v>
      </c>
    </row>
    <row r="341" spans="1:19" x14ac:dyDescent="0.25">
      <c r="A341" t="s">
        <v>418</v>
      </c>
      <c r="B341" s="1">
        <v>45944</v>
      </c>
      <c r="D341" t="s">
        <v>28</v>
      </c>
      <c r="E341" t="s">
        <v>76</v>
      </c>
      <c r="F341" t="s">
        <v>41</v>
      </c>
      <c r="G341" t="s">
        <v>16</v>
      </c>
      <c r="H341" t="s">
        <v>62</v>
      </c>
      <c r="I341" t="s">
        <v>17</v>
      </c>
      <c r="J341" t="s">
        <v>18</v>
      </c>
      <c r="K341" t="s">
        <v>20</v>
      </c>
      <c r="L341" t="s">
        <v>19</v>
      </c>
      <c r="M341" t="str">
        <f t="shared" si="35"/>
        <v/>
      </c>
      <c r="N341">
        <f t="shared" si="36"/>
        <v>1</v>
      </c>
      <c r="O341" t="str">
        <f t="shared" si="37"/>
        <v>Open</v>
      </c>
      <c r="P341" t="str">
        <f t="shared" si="38"/>
        <v>Oct</v>
      </c>
      <c r="Q341">
        <f t="shared" si="39"/>
        <v>2025</v>
      </c>
      <c r="R341" t="str">
        <f t="shared" si="40"/>
        <v>Open</v>
      </c>
      <c r="S341" t="str">
        <f t="shared" si="41"/>
        <v>Open</v>
      </c>
    </row>
    <row r="342" spans="1:19" x14ac:dyDescent="0.25">
      <c r="A342" t="s">
        <v>419</v>
      </c>
      <c r="B342" s="1">
        <v>45878</v>
      </c>
      <c r="C342" s="1">
        <v>45881</v>
      </c>
      <c r="D342" t="s">
        <v>49</v>
      </c>
      <c r="E342" t="s">
        <v>29</v>
      </c>
      <c r="F342" t="s">
        <v>66</v>
      </c>
      <c r="G342" t="s">
        <v>42</v>
      </c>
      <c r="H342" t="s">
        <v>110</v>
      </c>
      <c r="I342" t="s">
        <v>25</v>
      </c>
      <c r="J342" t="s">
        <v>18</v>
      </c>
      <c r="K342" t="s">
        <v>20</v>
      </c>
      <c r="L342" t="s">
        <v>39</v>
      </c>
      <c r="M342">
        <f t="shared" si="35"/>
        <v>3</v>
      </c>
      <c r="N342">
        <f t="shared" si="36"/>
        <v>3</v>
      </c>
      <c r="O342" t="str">
        <f t="shared" si="37"/>
        <v>Met</v>
      </c>
      <c r="P342" t="str">
        <f t="shared" si="38"/>
        <v>Aug</v>
      </c>
      <c r="Q342">
        <f t="shared" si="39"/>
        <v>2025</v>
      </c>
      <c r="R342" t="str">
        <f t="shared" si="40"/>
        <v>Closed</v>
      </c>
      <c r="S342" t="str">
        <f t="shared" si="41"/>
        <v>Aug</v>
      </c>
    </row>
    <row r="343" spans="1:19" x14ac:dyDescent="0.25">
      <c r="A343" t="s">
        <v>420</v>
      </c>
      <c r="B343" s="1">
        <v>45881</v>
      </c>
      <c r="D343" t="s">
        <v>45</v>
      </c>
      <c r="E343" t="s">
        <v>76</v>
      </c>
      <c r="F343" t="s">
        <v>41</v>
      </c>
      <c r="G343" t="s">
        <v>31</v>
      </c>
      <c r="H343" t="s">
        <v>56</v>
      </c>
      <c r="I343" t="s">
        <v>17</v>
      </c>
      <c r="J343" t="s">
        <v>34</v>
      </c>
      <c r="K343" t="s">
        <v>19</v>
      </c>
      <c r="L343" t="s">
        <v>19</v>
      </c>
      <c r="M343" t="str">
        <f t="shared" si="35"/>
        <v/>
      </c>
      <c r="N343">
        <f t="shared" si="36"/>
        <v>5</v>
      </c>
      <c r="O343" t="str">
        <f t="shared" si="37"/>
        <v>Open</v>
      </c>
      <c r="P343" t="str">
        <f t="shared" si="38"/>
        <v>Aug</v>
      </c>
      <c r="Q343">
        <f t="shared" si="39"/>
        <v>2025</v>
      </c>
      <c r="R343" t="str">
        <f t="shared" si="40"/>
        <v>Open</v>
      </c>
      <c r="S343" t="str">
        <f t="shared" si="41"/>
        <v>Open</v>
      </c>
    </row>
    <row r="344" spans="1:19" x14ac:dyDescent="0.25">
      <c r="A344" t="s">
        <v>421</v>
      </c>
      <c r="B344" s="1">
        <v>45946</v>
      </c>
      <c r="C344" s="1">
        <v>45946</v>
      </c>
      <c r="D344" t="s">
        <v>28</v>
      </c>
      <c r="E344" t="s">
        <v>14</v>
      </c>
      <c r="F344" t="s">
        <v>592</v>
      </c>
      <c r="G344" t="s">
        <v>23</v>
      </c>
      <c r="H344" t="s">
        <v>591</v>
      </c>
      <c r="I344" t="s">
        <v>38</v>
      </c>
      <c r="J344" t="s">
        <v>26</v>
      </c>
      <c r="K344" t="s">
        <v>19</v>
      </c>
      <c r="L344" t="s">
        <v>39</v>
      </c>
      <c r="M344">
        <f t="shared" si="35"/>
        <v>0</v>
      </c>
      <c r="N344">
        <f t="shared" si="36"/>
        <v>1</v>
      </c>
      <c r="O344" t="str">
        <f t="shared" si="37"/>
        <v>Met</v>
      </c>
      <c r="P344" t="str">
        <f t="shared" si="38"/>
        <v>Oct</v>
      </c>
      <c r="Q344">
        <f t="shared" si="39"/>
        <v>2025</v>
      </c>
      <c r="R344" t="str">
        <f t="shared" si="40"/>
        <v>Closed</v>
      </c>
      <c r="S344" t="str">
        <f t="shared" si="41"/>
        <v>Oct</v>
      </c>
    </row>
    <row r="345" spans="1:19" x14ac:dyDescent="0.25">
      <c r="A345" t="s">
        <v>422</v>
      </c>
      <c r="B345" s="1">
        <v>45736</v>
      </c>
      <c r="D345" t="s">
        <v>45</v>
      </c>
      <c r="E345" t="s">
        <v>76</v>
      </c>
      <c r="F345" t="s">
        <v>41</v>
      </c>
      <c r="G345" t="s">
        <v>591</v>
      </c>
      <c r="H345" t="s">
        <v>136</v>
      </c>
      <c r="I345" t="s">
        <v>52</v>
      </c>
      <c r="J345" t="s">
        <v>34</v>
      </c>
      <c r="K345" t="s">
        <v>39</v>
      </c>
      <c r="L345" t="s">
        <v>39</v>
      </c>
      <c r="M345" t="str">
        <f t="shared" si="35"/>
        <v/>
      </c>
      <c r="N345">
        <f t="shared" si="36"/>
        <v>5</v>
      </c>
      <c r="O345" t="str">
        <f t="shared" si="37"/>
        <v>Open</v>
      </c>
      <c r="P345" t="str">
        <f t="shared" si="38"/>
        <v>Mar</v>
      </c>
      <c r="Q345">
        <f t="shared" si="39"/>
        <v>2025</v>
      </c>
      <c r="R345" t="str">
        <f t="shared" si="40"/>
        <v>Open</v>
      </c>
      <c r="S345" t="str">
        <f t="shared" si="41"/>
        <v>Open</v>
      </c>
    </row>
    <row r="346" spans="1:19" x14ac:dyDescent="0.25">
      <c r="A346" t="s">
        <v>423</v>
      </c>
      <c r="B346" s="1">
        <v>45802</v>
      </c>
      <c r="C346" s="1">
        <v>45803</v>
      </c>
      <c r="D346" t="s">
        <v>49</v>
      </c>
      <c r="E346" t="s">
        <v>29</v>
      </c>
      <c r="F346" t="s">
        <v>50</v>
      </c>
      <c r="G346" t="s">
        <v>31</v>
      </c>
      <c r="H346" t="s">
        <v>43</v>
      </c>
      <c r="I346" t="s">
        <v>25</v>
      </c>
      <c r="J346" t="s">
        <v>26</v>
      </c>
      <c r="K346" t="s">
        <v>20</v>
      </c>
      <c r="L346" t="s">
        <v>20</v>
      </c>
      <c r="M346">
        <f t="shared" si="35"/>
        <v>1</v>
      </c>
      <c r="N346">
        <f t="shared" si="36"/>
        <v>3</v>
      </c>
      <c r="O346" t="str">
        <f t="shared" si="37"/>
        <v>Met</v>
      </c>
      <c r="P346" t="str">
        <f t="shared" si="38"/>
        <v>May</v>
      </c>
      <c r="Q346">
        <f t="shared" si="39"/>
        <v>2025</v>
      </c>
      <c r="R346" t="str">
        <f t="shared" si="40"/>
        <v>Closed</v>
      </c>
      <c r="S346" t="str">
        <f t="shared" si="41"/>
        <v>May</v>
      </c>
    </row>
    <row r="347" spans="1:19" x14ac:dyDescent="0.25">
      <c r="A347" t="s">
        <v>424</v>
      </c>
      <c r="B347" s="1">
        <v>45816</v>
      </c>
      <c r="C347" s="1">
        <v>45819</v>
      </c>
      <c r="D347" t="s">
        <v>13</v>
      </c>
      <c r="E347" t="s">
        <v>14</v>
      </c>
      <c r="F347" t="s">
        <v>41</v>
      </c>
      <c r="G347" t="s">
        <v>42</v>
      </c>
      <c r="H347" t="s">
        <v>136</v>
      </c>
      <c r="I347" t="s">
        <v>25</v>
      </c>
      <c r="J347" t="s">
        <v>60</v>
      </c>
      <c r="K347" t="s">
        <v>19</v>
      </c>
      <c r="L347" t="s">
        <v>20</v>
      </c>
      <c r="M347">
        <f t="shared" si="35"/>
        <v>3</v>
      </c>
      <c r="N347">
        <f t="shared" si="36"/>
        <v>7</v>
      </c>
      <c r="O347" t="str">
        <f t="shared" si="37"/>
        <v>Met</v>
      </c>
      <c r="P347" t="str">
        <f t="shared" si="38"/>
        <v>Jun</v>
      </c>
      <c r="Q347">
        <f t="shared" si="39"/>
        <v>2025</v>
      </c>
      <c r="R347" t="str">
        <f t="shared" si="40"/>
        <v>Closed</v>
      </c>
      <c r="S347" t="str">
        <f t="shared" si="41"/>
        <v>Jun</v>
      </c>
    </row>
    <row r="348" spans="1:19" x14ac:dyDescent="0.25">
      <c r="A348" t="s">
        <v>425</v>
      </c>
      <c r="B348" s="1">
        <v>46004</v>
      </c>
      <c r="D348" t="s">
        <v>49</v>
      </c>
      <c r="E348" t="s">
        <v>58</v>
      </c>
      <c r="F348" t="s">
        <v>41</v>
      </c>
      <c r="G348" t="s">
        <v>55</v>
      </c>
      <c r="H348" t="s">
        <v>151</v>
      </c>
      <c r="I348" t="s">
        <v>52</v>
      </c>
      <c r="J348" t="s">
        <v>26</v>
      </c>
      <c r="K348" t="s">
        <v>39</v>
      </c>
      <c r="L348" t="s">
        <v>19</v>
      </c>
      <c r="M348" t="str">
        <f t="shared" si="35"/>
        <v/>
      </c>
      <c r="N348">
        <f t="shared" si="36"/>
        <v>3</v>
      </c>
      <c r="O348" t="str">
        <f t="shared" si="37"/>
        <v>Open</v>
      </c>
      <c r="P348" t="str">
        <f t="shared" si="38"/>
        <v>Dec</v>
      </c>
      <c r="Q348">
        <f t="shared" si="39"/>
        <v>2025</v>
      </c>
      <c r="R348" t="str">
        <f t="shared" si="40"/>
        <v>Open</v>
      </c>
      <c r="S348" t="str">
        <f t="shared" si="41"/>
        <v>Open</v>
      </c>
    </row>
    <row r="349" spans="1:19" x14ac:dyDescent="0.25">
      <c r="A349" t="s">
        <v>426</v>
      </c>
      <c r="B349" s="1">
        <v>45949</v>
      </c>
      <c r="D349" t="s">
        <v>28</v>
      </c>
      <c r="E349" t="s">
        <v>76</v>
      </c>
      <c r="F349" t="s">
        <v>15</v>
      </c>
      <c r="G349" t="s">
        <v>23</v>
      </c>
      <c r="H349" t="s">
        <v>134</v>
      </c>
      <c r="I349" t="s">
        <v>25</v>
      </c>
      <c r="J349" t="s">
        <v>18</v>
      </c>
      <c r="K349" t="s">
        <v>39</v>
      </c>
      <c r="L349" t="s">
        <v>39</v>
      </c>
      <c r="M349" t="str">
        <f t="shared" si="35"/>
        <v/>
      </c>
      <c r="N349">
        <f t="shared" si="36"/>
        <v>1</v>
      </c>
      <c r="O349" t="str">
        <f t="shared" si="37"/>
        <v>Open</v>
      </c>
      <c r="P349" t="str">
        <f t="shared" si="38"/>
        <v>Oct</v>
      </c>
      <c r="Q349">
        <f t="shared" si="39"/>
        <v>2025</v>
      </c>
      <c r="R349" t="str">
        <f t="shared" si="40"/>
        <v>Open</v>
      </c>
      <c r="S349" t="str">
        <f t="shared" si="41"/>
        <v>Open</v>
      </c>
    </row>
    <row r="350" spans="1:19" x14ac:dyDescent="0.25">
      <c r="A350" t="s">
        <v>427</v>
      </c>
      <c r="B350" s="1">
        <v>45681</v>
      </c>
      <c r="D350" t="s">
        <v>45</v>
      </c>
      <c r="E350" t="s">
        <v>76</v>
      </c>
      <c r="F350" t="s">
        <v>41</v>
      </c>
      <c r="G350" t="s">
        <v>31</v>
      </c>
      <c r="H350" t="s">
        <v>56</v>
      </c>
      <c r="I350" t="s">
        <v>47</v>
      </c>
      <c r="J350" t="s">
        <v>60</v>
      </c>
      <c r="K350" t="s">
        <v>20</v>
      </c>
      <c r="L350" t="s">
        <v>19</v>
      </c>
      <c r="M350" t="str">
        <f t="shared" si="35"/>
        <v/>
      </c>
      <c r="N350">
        <f t="shared" si="36"/>
        <v>5</v>
      </c>
      <c r="O350" t="str">
        <f t="shared" si="37"/>
        <v>Open</v>
      </c>
      <c r="P350" t="str">
        <f t="shared" si="38"/>
        <v>Jan</v>
      </c>
      <c r="Q350">
        <f t="shared" si="39"/>
        <v>2025</v>
      </c>
      <c r="R350" t="str">
        <f t="shared" si="40"/>
        <v>Open</v>
      </c>
      <c r="S350" t="str">
        <f t="shared" si="41"/>
        <v>Open</v>
      </c>
    </row>
    <row r="351" spans="1:19" x14ac:dyDescent="0.25">
      <c r="A351" t="s">
        <v>428</v>
      </c>
      <c r="B351" s="1">
        <v>45755</v>
      </c>
      <c r="D351" t="s">
        <v>49</v>
      </c>
      <c r="E351" t="s">
        <v>76</v>
      </c>
      <c r="F351" t="s">
        <v>36</v>
      </c>
      <c r="G351" t="s">
        <v>16</v>
      </c>
      <c r="H351" t="s">
        <v>106</v>
      </c>
      <c r="I351" t="s">
        <v>38</v>
      </c>
      <c r="J351" t="s">
        <v>18</v>
      </c>
      <c r="K351" t="s">
        <v>39</v>
      </c>
      <c r="L351" t="s">
        <v>39</v>
      </c>
      <c r="M351" t="str">
        <f t="shared" si="35"/>
        <v/>
      </c>
      <c r="N351">
        <f t="shared" si="36"/>
        <v>3</v>
      </c>
      <c r="O351" t="str">
        <f t="shared" si="37"/>
        <v>Open</v>
      </c>
      <c r="P351" t="str">
        <f t="shared" si="38"/>
        <v>Apr</v>
      </c>
      <c r="Q351">
        <f t="shared" si="39"/>
        <v>2025</v>
      </c>
      <c r="R351" t="str">
        <f t="shared" si="40"/>
        <v>Open</v>
      </c>
      <c r="S351" t="str">
        <f t="shared" si="41"/>
        <v>Open</v>
      </c>
    </row>
    <row r="352" spans="1:19" x14ac:dyDescent="0.25">
      <c r="A352" t="s">
        <v>430</v>
      </c>
      <c r="B352" s="1">
        <v>45736</v>
      </c>
      <c r="C352" s="1">
        <v>45746</v>
      </c>
      <c r="D352" t="s">
        <v>13</v>
      </c>
      <c r="E352" t="s">
        <v>14</v>
      </c>
      <c r="F352" t="s">
        <v>30</v>
      </c>
      <c r="G352" t="s">
        <v>55</v>
      </c>
      <c r="H352" t="s">
        <v>77</v>
      </c>
      <c r="I352" t="s">
        <v>52</v>
      </c>
      <c r="J352" t="s">
        <v>26</v>
      </c>
      <c r="K352" t="s">
        <v>39</v>
      </c>
      <c r="L352" t="s">
        <v>20</v>
      </c>
      <c r="M352">
        <f t="shared" si="35"/>
        <v>10</v>
      </c>
      <c r="N352">
        <f t="shared" si="36"/>
        <v>7</v>
      </c>
      <c r="O352" t="str">
        <f t="shared" si="37"/>
        <v>Breached</v>
      </c>
      <c r="P352" t="str">
        <f t="shared" si="38"/>
        <v>Mar</v>
      </c>
      <c r="Q352">
        <f t="shared" si="39"/>
        <v>2025</v>
      </c>
      <c r="R352" t="str">
        <f t="shared" si="40"/>
        <v>Closed</v>
      </c>
      <c r="S352" t="str">
        <f t="shared" si="41"/>
        <v>Mar</v>
      </c>
    </row>
    <row r="353" spans="1:19" x14ac:dyDescent="0.25">
      <c r="A353" t="s">
        <v>431</v>
      </c>
      <c r="B353" s="1">
        <v>45920</v>
      </c>
      <c r="C353" s="1">
        <v>45923</v>
      </c>
      <c r="D353" t="s">
        <v>13</v>
      </c>
      <c r="E353" t="s">
        <v>29</v>
      </c>
      <c r="F353" t="s">
        <v>15</v>
      </c>
      <c r="G353" t="s">
        <v>16</v>
      </c>
      <c r="H353" t="s">
        <v>92</v>
      </c>
      <c r="I353" t="s">
        <v>25</v>
      </c>
      <c r="J353" t="s">
        <v>34</v>
      </c>
      <c r="K353" t="s">
        <v>20</v>
      </c>
      <c r="L353" t="s">
        <v>19</v>
      </c>
      <c r="M353">
        <f t="shared" si="35"/>
        <v>3</v>
      </c>
      <c r="N353">
        <f t="shared" si="36"/>
        <v>7</v>
      </c>
      <c r="O353" t="str">
        <f t="shared" si="37"/>
        <v>Met</v>
      </c>
      <c r="P353" t="str">
        <f t="shared" si="38"/>
        <v>Sep</v>
      </c>
      <c r="Q353">
        <f t="shared" si="39"/>
        <v>2025</v>
      </c>
      <c r="R353" t="str">
        <f t="shared" si="40"/>
        <v>Closed</v>
      </c>
      <c r="S353" t="str">
        <f t="shared" si="41"/>
        <v>Sep</v>
      </c>
    </row>
    <row r="354" spans="1:19" x14ac:dyDescent="0.25">
      <c r="A354" t="s">
        <v>432</v>
      </c>
      <c r="B354" s="1">
        <v>45834</v>
      </c>
      <c r="C354" s="1">
        <v>45838</v>
      </c>
      <c r="D354" t="s">
        <v>45</v>
      </c>
      <c r="E354" t="s">
        <v>29</v>
      </c>
      <c r="F354" t="s">
        <v>41</v>
      </c>
      <c r="G354" t="s">
        <v>23</v>
      </c>
      <c r="H354" t="s">
        <v>79</v>
      </c>
      <c r="I354" t="s">
        <v>52</v>
      </c>
      <c r="J354" t="s">
        <v>60</v>
      </c>
      <c r="K354" t="s">
        <v>19</v>
      </c>
      <c r="L354" t="s">
        <v>20</v>
      </c>
      <c r="M354">
        <f t="shared" si="35"/>
        <v>4</v>
      </c>
      <c r="N354">
        <f t="shared" si="36"/>
        <v>5</v>
      </c>
      <c r="O354" t="str">
        <f t="shared" si="37"/>
        <v>Met</v>
      </c>
      <c r="P354" t="str">
        <f t="shared" si="38"/>
        <v>Jun</v>
      </c>
      <c r="Q354">
        <f t="shared" si="39"/>
        <v>2025</v>
      </c>
      <c r="R354" t="str">
        <f t="shared" si="40"/>
        <v>Closed</v>
      </c>
      <c r="S354" t="str">
        <f t="shared" si="41"/>
        <v>Jun</v>
      </c>
    </row>
    <row r="355" spans="1:19" x14ac:dyDescent="0.25">
      <c r="A355" t="s">
        <v>433</v>
      </c>
      <c r="B355" s="1">
        <v>45760</v>
      </c>
      <c r="D355" t="s">
        <v>49</v>
      </c>
      <c r="E355" t="s">
        <v>58</v>
      </c>
      <c r="F355" t="s">
        <v>41</v>
      </c>
      <c r="G355" t="s">
        <v>591</v>
      </c>
      <c r="H355" t="s">
        <v>92</v>
      </c>
      <c r="I355" t="s">
        <v>47</v>
      </c>
      <c r="J355" t="s">
        <v>60</v>
      </c>
      <c r="K355" t="s">
        <v>39</v>
      </c>
      <c r="L355" t="s">
        <v>20</v>
      </c>
      <c r="M355" t="str">
        <f t="shared" si="35"/>
        <v/>
      </c>
      <c r="N355">
        <f t="shared" si="36"/>
        <v>3</v>
      </c>
      <c r="O355" t="str">
        <f t="shared" si="37"/>
        <v>Open</v>
      </c>
      <c r="P355" t="str">
        <f t="shared" si="38"/>
        <v>Apr</v>
      </c>
      <c r="Q355">
        <f t="shared" si="39"/>
        <v>2025</v>
      </c>
      <c r="R355" t="str">
        <f t="shared" si="40"/>
        <v>Open</v>
      </c>
      <c r="S355" t="str">
        <f t="shared" si="41"/>
        <v>Open</v>
      </c>
    </row>
    <row r="356" spans="1:19" x14ac:dyDescent="0.25">
      <c r="A356" t="s">
        <v>434</v>
      </c>
      <c r="B356" s="1">
        <v>45974</v>
      </c>
      <c r="D356" t="s">
        <v>28</v>
      </c>
      <c r="E356" t="s">
        <v>58</v>
      </c>
      <c r="F356" t="s">
        <v>22</v>
      </c>
      <c r="G356" t="s">
        <v>31</v>
      </c>
      <c r="H356" t="s">
        <v>128</v>
      </c>
      <c r="I356" t="s">
        <v>52</v>
      </c>
      <c r="J356" t="s">
        <v>60</v>
      </c>
      <c r="K356" t="s">
        <v>20</v>
      </c>
      <c r="L356" t="s">
        <v>20</v>
      </c>
      <c r="M356" t="str">
        <f t="shared" si="35"/>
        <v/>
      </c>
      <c r="N356">
        <f t="shared" si="36"/>
        <v>1</v>
      </c>
      <c r="O356" t="str">
        <f t="shared" si="37"/>
        <v>Open</v>
      </c>
      <c r="P356" t="str">
        <f t="shared" si="38"/>
        <v>Nov</v>
      </c>
      <c r="Q356">
        <f t="shared" si="39"/>
        <v>2025</v>
      </c>
      <c r="R356" t="str">
        <f t="shared" si="40"/>
        <v>Open</v>
      </c>
      <c r="S356" t="str">
        <f t="shared" si="41"/>
        <v>Open</v>
      </c>
    </row>
    <row r="357" spans="1:19" x14ac:dyDescent="0.25">
      <c r="A357" t="s">
        <v>435</v>
      </c>
      <c r="B357" s="1">
        <v>45714</v>
      </c>
      <c r="C357" s="1">
        <v>45722</v>
      </c>
      <c r="D357" t="s">
        <v>45</v>
      </c>
      <c r="E357" t="s">
        <v>14</v>
      </c>
      <c r="F357" t="s">
        <v>30</v>
      </c>
      <c r="G357" t="s">
        <v>16</v>
      </c>
      <c r="H357" t="s">
        <v>46</v>
      </c>
      <c r="I357" t="s">
        <v>69</v>
      </c>
      <c r="J357" t="s">
        <v>34</v>
      </c>
      <c r="K357" t="s">
        <v>39</v>
      </c>
      <c r="L357" t="s">
        <v>39</v>
      </c>
      <c r="M357">
        <f t="shared" si="35"/>
        <v>8</v>
      </c>
      <c r="N357">
        <f t="shared" si="36"/>
        <v>5</v>
      </c>
      <c r="O357" t="str">
        <f t="shared" si="37"/>
        <v>Breached</v>
      </c>
      <c r="P357" t="str">
        <f t="shared" si="38"/>
        <v>Feb</v>
      </c>
      <c r="Q357">
        <f t="shared" si="39"/>
        <v>2025</v>
      </c>
      <c r="R357" t="str">
        <f t="shared" si="40"/>
        <v>Closed</v>
      </c>
      <c r="S357" t="str">
        <f t="shared" si="41"/>
        <v>Mar</v>
      </c>
    </row>
    <row r="358" spans="1:19" x14ac:dyDescent="0.25">
      <c r="A358" t="s">
        <v>436</v>
      </c>
      <c r="B358" s="1">
        <v>45870</v>
      </c>
      <c r="C358" s="1">
        <v>45874</v>
      </c>
      <c r="D358" t="s">
        <v>49</v>
      </c>
      <c r="E358" t="s">
        <v>14</v>
      </c>
      <c r="F358" t="s">
        <v>15</v>
      </c>
      <c r="G358" t="s">
        <v>31</v>
      </c>
      <c r="H358" t="s">
        <v>128</v>
      </c>
      <c r="I358" t="s">
        <v>17</v>
      </c>
      <c r="J358" t="s">
        <v>18</v>
      </c>
      <c r="K358" t="s">
        <v>20</v>
      </c>
      <c r="L358" t="s">
        <v>20</v>
      </c>
      <c r="M358">
        <f t="shared" si="35"/>
        <v>4</v>
      </c>
      <c r="N358">
        <f t="shared" si="36"/>
        <v>3</v>
      </c>
      <c r="O358" t="str">
        <f t="shared" si="37"/>
        <v>Breached</v>
      </c>
      <c r="P358" t="str">
        <f t="shared" si="38"/>
        <v>Aug</v>
      </c>
      <c r="Q358">
        <f t="shared" si="39"/>
        <v>2025</v>
      </c>
      <c r="R358" t="str">
        <f t="shared" si="40"/>
        <v>Closed</v>
      </c>
      <c r="S358" t="str">
        <f t="shared" si="41"/>
        <v>Aug</v>
      </c>
    </row>
    <row r="359" spans="1:19" x14ac:dyDescent="0.25">
      <c r="A359" t="s">
        <v>437</v>
      </c>
      <c r="B359" s="1">
        <v>45922</v>
      </c>
      <c r="C359" s="1">
        <v>45922</v>
      </c>
      <c r="D359" t="s">
        <v>49</v>
      </c>
      <c r="E359" t="s">
        <v>14</v>
      </c>
      <c r="F359" t="s">
        <v>15</v>
      </c>
      <c r="G359" t="s">
        <v>55</v>
      </c>
      <c r="H359" t="s">
        <v>73</v>
      </c>
      <c r="I359" t="s">
        <v>33</v>
      </c>
      <c r="J359" t="s">
        <v>60</v>
      </c>
      <c r="K359" t="s">
        <v>19</v>
      </c>
      <c r="L359" t="s">
        <v>19</v>
      </c>
      <c r="M359">
        <f t="shared" si="35"/>
        <v>0</v>
      </c>
      <c r="N359">
        <f t="shared" si="36"/>
        <v>3</v>
      </c>
      <c r="O359" t="str">
        <f t="shared" si="37"/>
        <v>Met</v>
      </c>
      <c r="P359" t="str">
        <f t="shared" si="38"/>
        <v>Sep</v>
      </c>
      <c r="Q359">
        <f t="shared" si="39"/>
        <v>2025</v>
      </c>
      <c r="R359" t="str">
        <f t="shared" si="40"/>
        <v>Closed</v>
      </c>
      <c r="S359" t="str">
        <f t="shared" si="41"/>
        <v>Sep</v>
      </c>
    </row>
    <row r="360" spans="1:19" x14ac:dyDescent="0.25">
      <c r="A360" t="s">
        <v>438</v>
      </c>
      <c r="B360" s="1">
        <v>45924</v>
      </c>
      <c r="C360" s="1">
        <v>45928</v>
      </c>
      <c r="D360" t="s">
        <v>13</v>
      </c>
      <c r="E360" t="s">
        <v>14</v>
      </c>
      <c r="F360" t="s">
        <v>22</v>
      </c>
      <c r="G360" t="s">
        <v>31</v>
      </c>
      <c r="H360" t="s">
        <v>24</v>
      </c>
      <c r="I360" t="s">
        <v>52</v>
      </c>
      <c r="J360" t="s">
        <v>26</v>
      </c>
      <c r="K360" t="s">
        <v>19</v>
      </c>
      <c r="L360" t="s">
        <v>20</v>
      </c>
      <c r="M360">
        <f t="shared" si="35"/>
        <v>4</v>
      </c>
      <c r="N360">
        <f t="shared" si="36"/>
        <v>7</v>
      </c>
      <c r="O360" t="str">
        <f t="shared" si="37"/>
        <v>Met</v>
      </c>
      <c r="P360" t="str">
        <f t="shared" si="38"/>
        <v>Sep</v>
      </c>
      <c r="Q360">
        <f t="shared" si="39"/>
        <v>2025</v>
      </c>
      <c r="R360" t="str">
        <f t="shared" si="40"/>
        <v>Closed</v>
      </c>
      <c r="S360" t="str">
        <f t="shared" si="41"/>
        <v>Sep</v>
      </c>
    </row>
    <row r="361" spans="1:19" x14ac:dyDescent="0.25">
      <c r="A361" t="s">
        <v>439</v>
      </c>
      <c r="B361" s="1">
        <v>45812</v>
      </c>
      <c r="D361" t="s">
        <v>45</v>
      </c>
      <c r="E361" t="s">
        <v>76</v>
      </c>
      <c r="F361" t="s">
        <v>66</v>
      </c>
      <c r="G361" t="s">
        <v>23</v>
      </c>
      <c r="H361" t="s">
        <v>79</v>
      </c>
      <c r="I361" t="s">
        <v>17</v>
      </c>
      <c r="J361" t="s">
        <v>26</v>
      </c>
      <c r="K361" t="s">
        <v>19</v>
      </c>
      <c r="L361" t="s">
        <v>20</v>
      </c>
      <c r="M361" t="str">
        <f t="shared" si="35"/>
        <v/>
      </c>
      <c r="N361">
        <f t="shared" si="36"/>
        <v>5</v>
      </c>
      <c r="O361" t="str">
        <f t="shared" si="37"/>
        <v>Open</v>
      </c>
      <c r="P361" t="str">
        <f t="shared" si="38"/>
        <v>Jun</v>
      </c>
      <c r="Q361">
        <f t="shared" si="39"/>
        <v>2025</v>
      </c>
      <c r="R361" t="str">
        <f t="shared" si="40"/>
        <v>Open</v>
      </c>
      <c r="S361" t="str">
        <f t="shared" si="41"/>
        <v>Open</v>
      </c>
    </row>
    <row r="362" spans="1:19" x14ac:dyDescent="0.25">
      <c r="A362" t="s">
        <v>440</v>
      </c>
      <c r="B362" s="1">
        <v>45714</v>
      </c>
      <c r="C362" s="1">
        <v>45719</v>
      </c>
      <c r="D362" t="s">
        <v>49</v>
      </c>
      <c r="E362" t="s">
        <v>14</v>
      </c>
      <c r="F362" t="s">
        <v>15</v>
      </c>
      <c r="G362" t="s">
        <v>31</v>
      </c>
      <c r="H362" t="s">
        <v>134</v>
      </c>
      <c r="I362" t="s">
        <v>69</v>
      </c>
      <c r="J362" t="s">
        <v>26</v>
      </c>
      <c r="K362" t="s">
        <v>20</v>
      </c>
      <c r="L362" t="s">
        <v>19</v>
      </c>
      <c r="M362">
        <f t="shared" si="35"/>
        <v>5</v>
      </c>
      <c r="N362">
        <f t="shared" si="36"/>
        <v>3</v>
      </c>
      <c r="O362" t="str">
        <f t="shared" si="37"/>
        <v>Breached</v>
      </c>
      <c r="P362" t="str">
        <f t="shared" si="38"/>
        <v>Feb</v>
      </c>
      <c r="Q362">
        <f t="shared" si="39"/>
        <v>2025</v>
      </c>
      <c r="R362" t="str">
        <f t="shared" si="40"/>
        <v>Closed</v>
      </c>
      <c r="S362" t="str">
        <f t="shared" si="41"/>
        <v>Mar</v>
      </c>
    </row>
    <row r="363" spans="1:19" x14ac:dyDescent="0.25">
      <c r="A363" t="s">
        <v>441</v>
      </c>
      <c r="B363" s="1">
        <v>45951</v>
      </c>
      <c r="C363" s="1">
        <v>45956</v>
      </c>
      <c r="D363" t="s">
        <v>13</v>
      </c>
      <c r="E363" t="s">
        <v>14</v>
      </c>
      <c r="F363" t="s">
        <v>22</v>
      </c>
      <c r="G363" t="s">
        <v>55</v>
      </c>
      <c r="H363" t="s">
        <v>110</v>
      </c>
      <c r="I363" t="s">
        <v>25</v>
      </c>
      <c r="J363" t="s">
        <v>26</v>
      </c>
      <c r="K363" t="s">
        <v>19</v>
      </c>
      <c r="L363" t="s">
        <v>19</v>
      </c>
      <c r="M363">
        <f t="shared" si="35"/>
        <v>5</v>
      </c>
      <c r="N363">
        <f t="shared" si="36"/>
        <v>7</v>
      </c>
      <c r="O363" t="str">
        <f t="shared" si="37"/>
        <v>Met</v>
      </c>
      <c r="P363" t="str">
        <f t="shared" si="38"/>
        <v>Oct</v>
      </c>
      <c r="Q363">
        <f t="shared" si="39"/>
        <v>2025</v>
      </c>
      <c r="R363" t="str">
        <f t="shared" si="40"/>
        <v>Closed</v>
      </c>
      <c r="S363" t="str">
        <f t="shared" si="41"/>
        <v>Oct</v>
      </c>
    </row>
    <row r="364" spans="1:19" x14ac:dyDescent="0.25">
      <c r="A364" t="s">
        <v>442</v>
      </c>
      <c r="B364" s="1">
        <v>45944</v>
      </c>
      <c r="C364" s="1">
        <v>45945</v>
      </c>
      <c r="D364" t="s">
        <v>28</v>
      </c>
      <c r="E364" t="s">
        <v>29</v>
      </c>
      <c r="F364" t="s">
        <v>41</v>
      </c>
      <c r="G364" t="s">
        <v>42</v>
      </c>
      <c r="H364" t="s">
        <v>110</v>
      </c>
      <c r="I364" t="s">
        <v>52</v>
      </c>
      <c r="J364" t="s">
        <v>34</v>
      </c>
      <c r="K364" t="s">
        <v>20</v>
      </c>
      <c r="L364" t="s">
        <v>20</v>
      </c>
      <c r="M364">
        <f t="shared" si="35"/>
        <v>1</v>
      </c>
      <c r="N364">
        <f t="shared" si="36"/>
        <v>1</v>
      </c>
      <c r="O364" t="str">
        <f t="shared" si="37"/>
        <v>Met</v>
      </c>
      <c r="P364" t="str">
        <f t="shared" si="38"/>
        <v>Oct</v>
      </c>
      <c r="Q364">
        <f t="shared" si="39"/>
        <v>2025</v>
      </c>
      <c r="R364" t="str">
        <f t="shared" si="40"/>
        <v>Closed</v>
      </c>
      <c r="S364" t="str">
        <f t="shared" si="41"/>
        <v>Oct</v>
      </c>
    </row>
    <row r="365" spans="1:19" x14ac:dyDescent="0.25">
      <c r="A365" t="s">
        <v>443</v>
      </c>
      <c r="B365" s="1">
        <v>45738</v>
      </c>
      <c r="C365" s="1">
        <v>45741</v>
      </c>
      <c r="D365" t="s">
        <v>49</v>
      </c>
      <c r="E365" t="s">
        <v>14</v>
      </c>
      <c r="F365" t="s">
        <v>22</v>
      </c>
      <c r="G365" t="s">
        <v>23</v>
      </c>
      <c r="H365" t="s">
        <v>151</v>
      </c>
      <c r="I365" t="s">
        <v>17</v>
      </c>
      <c r="J365" t="s">
        <v>18</v>
      </c>
      <c r="K365" t="s">
        <v>39</v>
      </c>
      <c r="L365" t="s">
        <v>20</v>
      </c>
      <c r="M365">
        <f t="shared" si="35"/>
        <v>3</v>
      </c>
      <c r="N365">
        <f t="shared" si="36"/>
        <v>3</v>
      </c>
      <c r="O365" t="str">
        <f t="shared" si="37"/>
        <v>Met</v>
      </c>
      <c r="P365" t="str">
        <f t="shared" si="38"/>
        <v>Mar</v>
      </c>
      <c r="Q365">
        <f t="shared" si="39"/>
        <v>2025</v>
      </c>
      <c r="R365" t="str">
        <f t="shared" si="40"/>
        <v>Closed</v>
      </c>
      <c r="S365" t="str">
        <f t="shared" si="41"/>
        <v>Mar</v>
      </c>
    </row>
    <row r="366" spans="1:19" x14ac:dyDescent="0.25">
      <c r="A366" t="s">
        <v>444</v>
      </c>
      <c r="B366" s="1">
        <v>45768</v>
      </c>
      <c r="D366" t="s">
        <v>49</v>
      </c>
      <c r="E366" t="s">
        <v>58</v>
      </c>
      <c r="F366" t="s">
        <v>22</v>
      </c>
      <c r="G366" t="s">
        <v>42</v>
      </c>
      <c r="H366" t="s">
        <v>43</v>
      </c>
      <c r="I366" t="s">
        <v>47</v>
      </c>
      <c r="J366" t="s">
        <v>34</v>
      </c>
      <c r="K366" t="s">
        <v>19</v>
      </c>
      <c r="L366" t="s">
        <v>19</v>
      </c>
      <c r="M366" t="str">
        <f t="shared" si="35"/>
        <v/>
      </c>
      <c r="N366">
        <f t="shared" si="36"/>
        <v>3</v>
      </c>
      <c r="O366" t="str">
        <f t="shared" si="37"/>
        <v>Open</v>
      </c>
      <c r="P366" t="str">
        <f t="shared" si="38"/>
        <v>Apr</v>
      </c>
      <c r="Q366">
        <f t="shared" si="39"/>
        <v>2025</v>
      </c>
      <c r="R366" t="str">
        <f t="shared" si="40"/>
        <v>Open</v>
      </c>
      <c r="S366" t="str">
        <f t="shared" si="41"/>
        <v>Open</v>
      </c>
    </row>
    <row r="367" spans="1:19" x14ac:dyDescent="0.25">
      <c r="A367" t="s">
        <v>445</v>
      </c>
      <c r="B367" s="1">
        <v>45888</v>
      </c>
      <c r="C367" s="1">
        <v>45889</v>
      </c>
      <c r="D367" t="s">
        <v>28</v>
      </c>
      <c r="E367" t="s">
        <v>14</v>
      </c>
      <c r="F367" t="s">
        <v>592</v>
      </c>
      <c r="G367" t="s">
        <v>42</v>
      </c>
      <c r="H367" t="s">
        <v>56</v>
      </c>
      <c r="I367" t="s">
        <v>33</v>
      </c>
      <c r="J367" t="s">
        <v>26</v>
      </c>
      <c r="K367" t="s">
        <v>19</v>
      </c>
      <c r="L367" t="s">
        <v>19</v>
      </c>
      <c r="M367">
        <f t="shared" si="35"/>
        <v>1</v>
      </c>
      <c r="N367">
        <f t="shared" si="36"/>
        <v>1</v>
      </c>
      <c r="O367" t="str">
        <f t="shared" si="37"/>
        <v>Met</v>
      </c>
      <c r="P367" t="str">
        <f t="shared" si="38"/>
        <v>Aug</v>
      </c>
      <c r="Q367">
        <f t="shared" si="39"/>
        <v>2025</v>
      </c>
      <c r="R367" t="str">
        <f t="shared" si="40"/>
        <v>Closed</v>
      </c>
      <c r="S367" t="str">
        <f t="shared" si="41"/>
        <v>Aug</v>
      </c>
    </row>
    <row r="368" spans="1:19" x14ac:dyDescent="0.25">
      <c r="A368" t="s">
        <v>446</v>
      </c>
      <c r="B368" s="1">
        <v>45944</v>
      </c>
      <c r="D368" t="s">
        <v>28</v>
      </c>
      <c r="E368" t="s">
        <v>76</v>
      </c>
      <c r="F368" t="s">
        <v>36</v>
      </c>
      <c r="G368" t="s">
        <v>55</v>
      </c>
      <c r="H368" t="s">
        <v>51</v>
      </c>
      <c r="I368" t="s">
        <v>69</v>
      </c>
      <c r="J368" t="s">
        <v>34</v>
      </c>
      <c r="K368" t="s">
        <v>39</v>
      </c>
      <c r="L368" t="s">
        <v>19</v>
      </c>
      <c r="M368" t="str">
        <f t="shared" si="35"/>
        <v/>
      </c>
      <c r="N368">
        <f t="shared" si="36"/>
        <v>1</v>
      </c>
      <c r="O368" t="str">
        <f t="shared" si="37"/>
        <v>Open</v>
      </c>
      <c r="P368" t="str">
        <f t="shared" si="38"/>
        <v>Oct</v>
      </c>
      <c r="Q368">
        <f t="shared" si="39"/>
        <v>2025</v>
      </c>
      <c r="R368" t="str">
        <f t="shared" si="40"/>
        <v>Open</v>
      </c>
      <c r="S368" t="str">
        <f t="shared" si="41"/>
        <v>Open</v>
      </c>
    </row>
    <row r="369" spans="1:19" x14ac:dyDescent="0.25">
      <c r="A369" t="s">
        <v>447</v>
      </c>
      <c r="B369" s="1">
        <v>45954</v>
      </c>
      <c r="C369" s="1">
        <v>45956</v>
      </c>
      <c r="D369" t="s">
        <v>45</v>
      </c>
      <c r="E369" t="s">
        <v>29</v>
      </c>
      <c r="F369" t="s">
        <v>592</v>
      </c>
      <c r="G369" t="s">
        <v>55</v>
      </c>
      <c r="H369" t="s">
        <v>46</v>
      </c>
      <c r="I369" t="s">
        <v>17</v>
      </c>
      <c r="J369" t="s">
        <v>34</v>
      </c>
      <c r="K369" t="s">
        <v>20</v>
      </c>
      <c r="L369" t="s">
        <v>39</v>
      </c>
      <c r="M369">
        <f t="shared" si="35"/>
        <v>2</v>
      </c>
      <c r="N369">
        <f t="shared" si="36"/>
        <v>5</v>
      </c>
      <c r="O369" t="str">
        <f t="shared" si="37"/>
        <v>Met</v>
      </c>
      <c r="P369" t="str">
        <f t="shared" si="38"/>
        <v>Oct</v>
      </c>
      <c r="Q369">
        <f t="shared" si="39"/>
        <v>2025</v>
      </c>
      <c r="R369" t="str">
        <f t="shared" si="40"/>
        <v>Closed</v>
      </c>
      <c r="S369" t="str">
        <f t="shared" si="41"/>
        <v>Oct</v>
      </c>
    </row>
    <row r="370" spans="1:19" x14ac:dyDescent="0.25">
      <c r="A370" t="s">
        <v>449</v>
      </c>
      <c r="B370" s="1">
        <v>45866</v>
      </c>
      <c r="C370" s="1">
        <v>45869</v>
      </c>
      <c r="D370" t="s">
        <v>49</v>
      </c>
      <c r="E370" t="s">
        <v>14</v>
      </c>
      <c r="F370" t="s">
        <v>592</v>
      </c>
      <c r="G370" t="s">
        <v>55</v>
      </c>
      <c r="H370" t="s">
        <v>59</v>
      </c>
      <c r="I370" t="s">
        <v>38</v>
      </c>
      <c r="J370" t="s">
        <v>18</v>
      </c>
      <c r="K370" t="s">
        <v>39</v>
      </c>
      <c r="L370" t="s">
        <v>20</v>
      </c>
      <c r="M370">
        <f t="shared" si="35"/>
        <v>3</v>
      </c>
      <c r="N370">
        <f t="shared" si="36"/>
        <v>3</v>
      </c>
      <c r="O370" t="str">
        <f t="shared" si="37"/>
        <v>Met</v>
      </c>
      <c r="P370" t="str">
        <f t="shared" si="38"/>
        <v>Jul</v>
      </c>
      <c r="Q370">
        <f t="shared" si="39"/>
        <v>2025</v>
      </c>
      <c r="R370" t="str">
        <f t="shared" si="40"/>
        <v>Closed</v>
      </c>
      <c r="S370" t="str">
        <f t="shared" si="41"/>
        <v>Jul</v>
      </c>
    </row>
    <row r="371" spans="1:19" x14ac:dyDescent="0.25">
      <c r="A371" t="s">
        <v>450</v>
      </c>
      <c r="B371" s="1">
        <v>45895</v>
      </c>
      <c r="C371" s="1">
        <v>45895</v>
      </c>
      <c r="D371" t="s">
        <v>49</v>
      </c>
      <c r="E371" t="s">
        <v>29</v>
      </c>
      <c r="F371" t="s">
        <v>50</v>
      </c>
      <c r="G371" t="s">
        <v>31</v>
      </c>
      <c r="H371" t="s">
        <v>77</v>
      </c>
      <c r="I371" t="s">
        <v>47</v>
      </c>
      <c r="J371" t="s">
        <v>34</v>
      </c>
      <c r="K371" t="s">
        <v>20</v>
      </c>
      <c r="L371" t="s">
        <v>19</v>
      </c>
      <c r="M371">
        <f t="shared" si="35"/>
        <v>0</v>
      </c>
      <c r="N371">
        <f t="shared" si="36"/>
        <v>3</v>
      </c>
      <c r="O371" t="str">
        <f t="shared" si="37"/>
        <v>Met</v>
      </c>
      <c r="P371" t="str">
        <f t="shared" si="38"/>
        <v>Aug</v>
      </c>
      <c r="Q371">
        <f t="shared" si="39"/>
        <v>2025</v>
      </c>
      <c r="R371" t="str">
        <f t="shared" si="40"/>
        <v>Closed</v>
      </c>
      <c r="S371" t="str">
        <f t="shared" si="41"/>
        <v>Aug</v>
      </c>
    </row>
    <row r="372" spans="1:19" x14ac:dyDescent="0.25">
      <c r="A372" t="s">
        <v>451</v>
      </c>
      <c r="B372" s="1">
        <v>45783</v>
      </c>
      <c r="C372" s="1">
        <v>45786</v>
      </c>
      <c r="D372" t="s">
        <v>49</v>
      </c>
      <c r="E372" t="s">
        <v>29</v>
      </c>
      <c r="F372" t="s">
        <v>50</v>
      </c>
      <c r="G372" t="s">
        <v>23</v>
      </c>
      <c r="H372" t="s">
        <v>43</v>
      </c>
      <c r="I372" t="s">
        <v>33</v>
      </c>
      <c r="J372" t="s">
        <v>26</v>
      </c>
      <c r="K372" t="s">
        <v>39</v>
      </c>
      <c r="L372" t="s">
        <v>39</v>
      </c>
      <c r="M372">
        <f t="shared" si="35"/>
        <v>3</v>
      </c>
      <c r="N372">
        <f t="shared" si="36"/>
        <v>3</v>
      </c>
      <c r="O372" t="str">
        <f t="shared" si="37"/>
        <v>Met</v>
      </c>
      <c r="P372" t="str">
        <f t="shared" si="38"/>
        <v>May</v>
      </c>
      <c r="Q372">
        <f t="shared" si="39"/>
        <v>2025</v>
      </c>
      <c r="R372" t="str">
        <f t="shared" si="40"/>
        <v>Closed</v>
      </c>
      <c r="S372" t="str">
        <f t="shared" si="41"/>
        <v>May</v>
      </c>
    </row>
    <row r="373" spans="1:19" x14ac:dyDescent="0.25">
      <c r="A373" t="s">
        <v>452</v>
      </c>
      <c r="B373" s="1">
        <v>45946</v>
      </c>
      <c r="D373" t="s">
        <v>45</v>
      </c>
      <c r="E373" t="s">
        <v>76</v>
      </c>
      <c r="F373" t="s">
        <v>66</v>
      </c>
      <c r="G373" t="s">
        <v>16</v>
      </c>
      <c r="H373" t="s">
        <v>37</v>
      </c>
      <c r="I373" t="s">
        <v>52</v>
      </c>
      <c r="J373" t="s">
        <v>26</v>
      </c>
      <c r="K373" t="s">
        <v>19</v>
      </c>
      <c r="L373" t="s">
        <v>20</v>
      </c>
      <c r="M373" t="str">
        <f t="shared" si="35"/>
        <v/>
      </c>
      <c r="N373">
        <f t="shared" si="36"/>
        <v>5</v>
      </c>
      <c r="O373" t="str">
        <f t="shared" si="37"/>
        <v>Open</v>
      </c>
      <c r="P373" t="str">
        <f t="shared" si="38"/>
        <v>Oct</v>
      </c>
      <c r="Q373">
        <f t="shared" si="39"/>
        <v>2025</v>
      </c>
      <c r="R373" t="str">
        <f t="shared" si="40"/>
        <v>Open</v>
      </c>
      <c r="S373" t="str">
        <f t="shared" si="41"/>
        <v>Open</v>
      </c>
    </row>
    <row r="374" spans="1:19" x14ac:dyDescent="0.25">
      <c r="A374" t="s">
        <v>453</v>
      </c>
      <c r="B374" s="1">
        <v>45997</v>
      </c>
      <c r="C374" s="1">
        <v>45997</v>
      </c>
      <c r="D374" t="s">
        <v>28</v>
      </c>
      <c r="E374" t="s">
        <v>14</v>
      </c>
      <c r="F374" t="s">
        <v>66</v>
      </c>
      <c r="G374" t="s">
        <v>31</v>
      </c>
      <c r="H374" t="s">
        <v>151</v>
      </c>
      <c r="I374" t="s">
        <v>47</v>
      </c>
      <c r="J374" t="s">
        <v>60</v>
      </c>
      <c r="K374" t="s">
        <v>19</v>
      </c>
      <c r="L374" t="s">
        <v>39</v>
      </c>
      <c r="M374">
        <f t="shared" si="35"/>
        <v>0</v>
      </c>
      <c r="N374">
        <f t="shared" si="36"/>
        <v>1</v>
      </c>
      <c r="O374" t="str">
        <f t="shared" si="37"/>
        <v>Met</v>
      </c>
      <c r="P374" t="str">
        <f t="shared" si="38"/>
        <v>Dec</v>
      </c>
      <c r="Q374">
        <f t="shared" si="39"/>
        <v>2025</v>
      </c>
      <c r="R374" t="str">
        <f t="shared" si="40"/>
        <v>Closed</v>
      </c>
      <c r="S374" t="str">
        <f t="shared" si="41"/>
        <v>Dec</v>
      </c>
    </row>
    <row r="375" spans="1:19" x14ac:dyDescent="0.25">
      <c r="A375" t="s">
        <v>454</v>
      </c>
      <c r="B375" s="1">
        <v>46001</v>
      </c>
      <c r="C375" s="1">
        <v>46002</v>
      </c>
      <c r="D375" t="s">
        <v>28</v>
      </c>
      <c r="E375" t="s">
        <v>29</v>
      </c>
      <c r="F375" t="s">
        <v>66</v>
      </c>
      <c r="G375" t="s">
        <v>23</v>
      </c>
      <c r="H375" t="s">
        <v>24</v>
      </c>
      <c r="I375" t="s">
        <v>47</v>
      </c>
      <c r="J375" t="s">
        <v>26</v>
      </c>
      <c r="K375" t="s">
        <v>19</v>
      </c>
      <c r="L375" t="s">
        <v>19</v>
      </c>
      <c r="M375">
        <f t="shared" si="35"/>
        <v>1</v>
      </c>
      <c r="N375">
        <f t="shared" si="36"/>
        <v>1</v>
      </c>
      <c r="O375" t="str">
        <f t="shared" si="37"/>
        <v>Met</v>
      </c>
      <c r="P375" t="str">
        <f t="shared" si="38"/>
        <v>Dec</v>
      </c>
      <c r="Q375">
        <f t="shared" si="39"/>
        <v>2025</v>
      </c>
      <c r="R375" t="str">
        <f t="shared" si="40"/>
        <v>Closed</v>
      </c>
      <c r="S375" t="str">
        <f t="shared" si="41"/>
        <v>Dec</v>
      </c>
    </row>
    <row r="376" spans="1:19" x14ac:dyDescent="0.25">
      <c r="A376" t="s">
        <v>455</v>
      </c>
      <c r="B376" s="1">
        <v>45704</v>
      </c>
      <c r="C376" s="1">
        <v>45708</v>
      </c>
      <c r="D376" t="s">
        <v>45</v>
      </c>
      <c r="E376" t="s">
        <v>14</v>
      </c>
      <c r="F376" t="s">
        <v>36</v>
      </c>
      <c r="G376" t="s">
        <v>31</v>
      </c>
      <c r="H376" t="s">
        <v>43</v>
      </c>
      <c r="I376" t="s">
        <v>33</v>
      </c>
      <c r="J376" t="s">
        <v>18</v>
      </c>
      <c r="K376" t="s">
        <v>39</v>
      </c>
      <c r="L376" t="s">
        <v>19</v>
      </c>
      <c r="M376">
        <f t="shared" si="35"/>
        <v>4</v>
      </c>
      <c r="N376">
        <f t="shared" si="36"/>
        <v>5</v>
      </c>
      <c r="O376" t="str">
        <f t="shared" si="37"/>
        <v>Met</v>
      </c>
      <c r="P376" t="str">
        <f t="shared" si="38"/>
        <v>Feb</v>
      </c>
      <c r="Q376">
        <f t="shared" si="39"/>
        <v>2025</v>
      </c>
      <c r="R376" t="str">
        <f t="shared" si="40"/>
        <v>Closed</v>
      </c>
      <c r="S376" t="str">
        <f t="shared" si="41"/>
        <v>Feb</v>
      </c>
    </row>
    <row r="377" spans="1:19" x14ac:dyDescent="0.25">
      <c r="A377" t="s">
        <v>456</v>
      </c>
      <c r="B377" s="1">
        <v>45947</v>
      </c>
      <c r="C377" s="1">
        <v>45947</v>
      </c>
      <c r="D377" t="s">
        <v>13</v>
      </c>
      <c r="E377" t="s">
        <v>14</v>
      </c>
      <c r="F377" t="s">
        <v>30</v>
      </c>
      <c r="G377" t="s">
        <v>55</v>
      </c>
      <c r="H377" t="s">
        <v>51</v>
      </c>
      <c r="I377" t="s">
        <v>25</v>
      </c>
      <c r="J377" t="s">
        <v>18</v>
      </c>
      <c r="K377" t="s">
        <v>19</v>
      </c>
      <c r="L377" t="s">
        <v>19</v>
      </c>
      <c r="M377">
        <f t="shared" si="35"/>
        <v>0</v>
      </c>
      <c r="N377">
        <f t="shared" si="36"/>
        <v>7</v>
      </c>
      <c r="O377" t="str">
        <f t="shared" si="37"/>
        <v>Met</v>
      </c>
      <c r="P377" t="str">
        <f t="shared" si="38"/>
        <v>Oct</v>
      </c>
      <c r="Q377">
        <f t="shared" si="39"/>
        <v>2025</v>
      </c>
      <c r="R377" t="str">
        <f t="shared" si="40"/>
        <v>Closed</v>
      </c>
      <c r="S377" t="str">
        <f t="shared" si="41"/>
        <v>Oct</v>
      </c>
    </row>
    <row r="378" spans="1:19" x14ac:dyDescent="0.25">
      <c r="A378" t="s">
        <v>457</v>
      </c>
      <c r="B378" s="1">
        <v>45684</v>
      </c>
      <c r="C378" s="1">
        <v>45687</v>
      </c>
      <c r="D378" t="s">
        <v>45</v>
      </c>
      <c r="E378" t="s">
        <v>14</v>
      </c>
      <c r="F378" t="s">
        <v>41</v>
      </c>
      <c r="G378" t="s">
        <v>55</v>
      </c>
      <c r="H378" t="s">
        <v>77</v>
      </c>
      <c r="I378" t="s">
        <v>25</v>
      </c>
      <c r="J378" t="s">
        <v>18</v>
      </c>
      <c r="K378" t="s">
        <v>39</v>
      </c>
      <c r="L378" t="s">
        <v>20</v>
      </c>
      <c r="M378">
        <f t="shared" si="35"/>
        <v>3</v>
      </c>
      <c r="N378">
        <f t="shared" si="36"/>
        <v>5</v>
      </c>
      <c r="O378" t="str">
        <f t="shared" si="37"/>
        <v>Met</v>
      </c>
      <c r="P378" t="str">
        <f t="shared" si="38"/>
        <v>Jan</v>
      </c>
      <c r="Q378">
        <f t="shared" si="39"/>
        <v>2025</v>
      </c>
      <c r="R378" t="str">
        <f t="shared" si="40"/>
        <v>Closed</v>
      </c>
      <c r="S378" t="str">
        <f t="shared" si="41"/>
        <v>Jan</v>
      </c>
    </row>
    <row r="379" spans="1:19" x14ac:dyDescent="0.25">
      <c r="A379" t="s">
        <v>458</v>
      </c>
      <c r="B379" s="1">
        <v>45950</v>
      </c>
      <c r="C379" s="1">
        <v>45953</v>
      </c>
      <c r="D379" t="s">
        <v>45</v>
      </c>
      <c r="E379" t="s">
        <v>14</v>
      </c>
      <c r="F379" t="s">
        <v>66</v>
      </c>
      <c r="G379" t="s">
        <v>591</v>
      </c>
      <c r="H379" t="s">
        <v>95</v>
      </c>
      <c r="I379" t="s">
        <v>47</v>
      </c>
      <c r="J379" t="s">
        <v>26</v>
      </c>
      <c r="K379" t="s">
        <v>39</v>
      </c>
      <c r="L379" t="s">
        <v>39</v>
      </c>
      <c r="M379">
        <f t="shared" si="35"/>
        <v>3</v>
      </c>
      <c r="N379">
        <f t="shared" si="36"/>
        <v>5</v>
      </c>
      <c r="O379" t="str">
        <f t="shared" si="37"/>
        <v>Met</v>
      </c>
      <c r="P379" t="str">
        <f t="shared" si="38"/>
        <v>Oct</v>
      </c>
      <c r="Q379">
        <f t="shared" si="39"/>
        <v>2025</v>
      </c>
      <c r="R379" t="str">
        <f t="shared" si="40"/>
        <v>Closed</v>
      </c>
      <c r="S379" t="str">
        <f t="shared" si="41"/>
        <v>Oct</v>
      </c>
    </row>
    <row r="380" spans="1:19" x14ac:dyDescent="0.25">
      <c r="A380" t="s">
        <v>459</v>
      </c>
      <c r="B380" s="1">
        <v>45832</v>
      </c>
      <c r="C380" s="1">
        <v>45832</v>
      </c>
      <c r="D380" t="s">
        <v>28</v>
      </c>
      <c r="E380" t="s">
        <v>14</v>
      </c>
      <c r="F380" t="s">
        <v>41</v>
      </c>
      <c r="G380" t="s">
        <v>55</v>
      </c>
      <c r="H380" t="s">
        <v>43</v>
      </c>
      <c r="I380" t="s">
        <v>47</v>
      </c>
      <c r="J380" t="s">
        <v>34</v>
      </c>
      <c r="K380" t="s">
        <v>39</v>
      </c>
      <c r="L380" t="s">
        <v>20</v>
      </c>
      <c r="M380">
        <f t="shared" si="35"/>
        <v>0</v>
      </c>
      <c r="N380">
        <f t="shared" si="36"/>
        <v>1</v>
      </c>
      <c r="O380" t="str">
        <f t="shared" si="37"/>
        <v>Met</v>
      </c>
      <c r="P380" t="str">
        <f t="shared" si="38"/>
        <v>Jun</v>
      </c>
      <c r="Q380">
        <f t="shared" si="39"/>
        <v>2025</v>
      </c>
      <c r="R380" t="str">
        <f t="shared" si="40"/>
        <v>Closed</v>
      </c>
      <c r="S380" t="str">
        <f t="shared" si="41"/>
        <v>Jun</v>
      </c>
    </row>
    <row r="381" spans="1:19" x14ac:dyDescent="0.25">
      <c r="A381" t="s">
        <v>460</v>
      </c>
      <c r="B381" s="1">
        <v>45970</v>
      </c>
      <c r="C381" s="1">
        <v>45972</v>
      </c>
      <c r="D381" t="s">
        <v>13</v>
      </c>
      <c r="E381" t="s">
        <v>14</v>
      </c>
      <c r="F381" t="s">
        <v>592</v>
      </c>
      <c r="G381" t="s">
        <v>16</v>
      </c>
      <c r="H381" t="s">
        <v>591</v>
      </c>
      <c r="I381" t="s">
        <v>33</v>
      </c>
      <c r="J381" t="s">
        <v>60</v>
      </c>
      <c r="K381" t="s">
        <v>20</v>
      </c>
      <c r="L381" t="s">
        <v>19</v>
      </c>
      <c r="M381">
        <f t="shared" si="35"/>
        <v>2</v>
      </c>
      <c r="N381">
        <f t="shared" si="36"/>
        <v>7</v>
      </c>
      <c r="O381" t="str">
        <f t="shared" si="37"/>
        <v>Met</v>
      </c>
      <c r="P381" t="str">
        <f t="shared" si="38"/>
        <v>Nov</v>
      </c>
      <c r="Q381">
        <f t="shared" si="39"/>
        <v>2025</v>
      </c>
      <c r="R381" t="str">
        <f t="shared" si="40"/>
        <v>Closed</v>
      </c>
      <c r="S381" t="str">
        <f t="shared" si="41"/>
        <v>Nov</v>
      </c>
    </row>
    <row r="382" spans="1:19" x14ac:dyDescent="0.25">
      <c r="A382" t="s">
        <v>461</v>
      </c>
      <c r="B382" s="1">
        <v>45671</v>
      </c>
      <c r="C382" s="1">
        <v>45672</v>
      </c>
      <c r="D382" t="s">
        <v>49</v>
      </c>
      <c r="E382" t="s">
        <v>29</v>
      </c>
      <c r="F382" t="s">
        <v>30</v>
      </c>
      <c r="G382" t="s">
        <v>42</v>
      </c>
      <c r="H382" t="s">
        <v>24</v>
      </c>
      <c r="I382" t="s">
        <v>47</v>
      </c>
      <c r="J382" t="s">
        <v>60</v>
      </c>
      <c r="K382" t="s">
        <v>39</v>
      </c>
      <c r="L382" t="s">
        <v>39</v>
      </c>
      <c r="M382">
        <f t="shared" si="35"/>
        <v>1</v>
      </c>
      <c r="N382">
        <f t="shared" si="36"/>
        <v>3</v>
      </c>
      <c r="O382" t="str">
        <f t="shared" si="37"/>
        <v>Met</v>
      </c>
      <c r="P382" t="str">
        <f t="shared" si="38"/>
        <v>Jan</v>
      </c>
      <c r="Q382">
        <f t="shared" si="39"/>
        <v>2025</v>
      </c>
      <c r="R382" t="str">
        <f t="shared" si="40"/>
        <v>Closed</v>
      </c>
      <c r="S382" t="str">
        <f t="shared" si="41"/>
        <v>Jan</v>
      </c>
    </row>
    <row r="383" spans="1:19" x14ac:dyDescent="0.25">
      <c r="A383" t="s">
        <v>462</v>
      </c>
      <c r="B383" s="1">
        <v>45881</v>
      </c>
      <c r="C383" s="1">
        <v>45881</v>
      </c>
      <c r="D383" t="s">
        <v>28</v>
      </c>
      <c r="E383" t="s">
        <v>29</v>
      </c>
      <c r="F383" t="s">
        <v>50</v>
      </c>
      <c r="G383" t="s">
        <v>31</v>
      </c>
      <c r="H383" t="s">
        <v>128</v>
      </c>
      <c r="I383" t="s">
        <v>38</v>
      </c>
      <c r="J383" t="s">
        <v>26</v>
      </c>
      <c r="K383" t="s">
        <v>39</v>
      </c>
      <c r="L383" t="s">
        <v>39</v>
      </c>
      <c r="M383">
        <f t="shared" si="35"/>
        <v>0</v>
      </c>
      <c r="N383">
        <f t="shared" si="36"/>
        <v>1</v>
      </c>
      <c r="O383" t="str">
        <f t="shared" si="37"/>
        <v>Met</v>
      </c>
      <c r="P383" t="str">
        <f t="shared" si="38"/>
        <v>Aug</v>
      </c>
      <c r="Q383">
        <f t="shared" si="39"/>
        <v>2025</v>
      </c>
      <c r="R383" t="str">
        <f t="shared" si="40"/>
        <v>Closed</v>
      </c>
      <c r="S383" t="str">
        <f t="shared" si="41"/>
        <v>Aug</v>
      </c>
    </row>
    <row r="384" spans="1:19" x14ac:dyDescent="0.25">
      <c r="A384" t="s">
        <v>463</v>
      </c>
      <c r="B384" s="1">
        <v>45761</v>
      </c>
      <c r="C384" s="1">
        <v>45761</v>
      </c>
      <c r="D384" t="s">
        <v>28</v>
      </c>
      <c r="E384" t="s">
        <v>14</v>
      </c>
      <c r="F384" t="s">
        <v>22</v>
      </c>
      <c r="G384" t="s">
        <v>23</v>
      </c>
      <c r="H384" t="s">
        <v>24</v>
      </c>
      <c r="I384" t="s">
        <v>38</v>
      </c>
      <c r="J384" t="s">
        <v>34</v>
      </c>
      <c r="K384" t="s">
        <v>39</v>
      </c>
      <c r="L384" t="s">
        <v>19</v>
      </c>
      <c r="M384">
        <f t="shared" si="35"/>
        <v>0</v>
      </c>
      <c r="N384">
        <f t="shared" si="36"/>
        <v>1</v>
      </c>
      <c r="O384" t="str">
        <f t="shared" si="37"/>
        <v>Met</v>
      </c>
      <c r="P384" t="str">
        <f t="shared" si="38"/>
        <v>Apr</v>
      </c>
      <c r="Q384">
        <f t="shared" si="39"/>
        <v>2025</v>
      </c>
      <c r="R384" t="str">
        <f t="shared" si="40"/>
        <v>Closed</v>
      </c>
      <c r="S384" t="str">
        <f t="shared" si="41"/>
        <v>Apr</v>
      </c>
    </row>
    <row r="385" spans="1:19" x14ac:dyDescent="0.25">
      <c r="A385" t="s">
        <v>464</v>
      </c>
      <c r="B385" s="1">
        <v>45775</v>
      </c>
      <c r="C385" s="1">
        <v>45780</v>
      </c>
      <c r="D385" t="s">
        <v>45</v>
      </c>
      <c r="E385" t="s">
        <v>29</v>
      </c>
      <c r="F385" t="s">
        <v>592</v>
      </c>
      <c r="G385" t="s">
        <v>55</v>
      </c>
      <c r="H385" t="s">
        <v>51</v>
      </c>
      <c r="I385" t="s">
        <v>38</v>
      </c>
      <c r="J385" t="s">
        <v>34</v>
      </c>
      <c r="K385" t="s">
        <v>19</v>
      </c>
      <c r="L385" t="s">
        <v>19</v>
      </c>
      <c r="M385">
        <f t="shared" si="35"/>
        <v>5</v>
      </c>
      <c r="N385">
        <f t="shared" si="36"/>
        <v>5</v>
      </c>
      <c r="O385" t="str">
        <f t="shared" si="37"/>
        <v>Met</v>
      </c>
      <c r="P385" t="str">
        <f t="shared" si="38"/>
        <v>Apr</v>
      </c>
      <c r="Q385">
        <f t="shared" si="39"/>
        <v>2025</v>
      </c>
      <c r="R385" t="str">
        <f t="shared" si="40"/>
        <v>Closed</v>
      </c>
      <c r="S385" t="str">
        <f t="shared" si="41"/>
        <v>May</v>
      </c>
    </row>
    <row r="386" spans="1:19" x14ac:dyDescent="0.25">
      <c r="A386" t="s">
        <v>465</v>
      </c>
      <c r="B386" s="1">
        <v>45842</v>
      </c>
      <c r="D386" t="s">
        <v>45</v>
      </c>
      <c r="E386" t="s">
        <v>76</v>
      </c>
      <c r="F386" t="s">
        <v>66</v>
      </c>
      <c r="G386" t="s">
        <v>31</v>
      </c>
      <c r="H386" t="s">
        <v>95</v>
      </c>
      <c r="I386" t="s">
        <v>25</v>
      </c>
      <c r="J386" t="s">
        <v>60</v>
      </c>
      <c r="K386" t="s">
        <v>19</v>
      </c>
      <c r="L386" t="s">
        <v>39</v>
      </c>
      <c r="M386" t="str">
        <f t="shared" ref="M386:M449" si="42">IF(C386="","",C386-B386)</f>
        <v/>
      </c>
      <c r="N386">
        <f t="shared" ref="N386:N449" si="43">IF(D386="P1",1,
IF(D386="P2",3,
IF(D386="P3",5,7)))</f>
        <v>5</v>
      </c>
      <c r="O386" t="str">
        <f t="shared" ref="O386:O449" si="44">IF(C386="","Open",
IF(M386&lt;=N386, "Met", "Breached"))</f>
        <v>Open</v>
      </c>
      <c r="P386" t="str">
        <f t="shared" ref="P386:P449" si="45">TEXT(B386,"mmm")</f>
        <v>Jul</v>
      </c>
      <c r="Q386">
        <f t="shared" ref="Q386:Q449" si="46">YEAR(B386)</f>
        <v>2025</v>
      </c>
      <c r="R386" t="str">
        <f t="shared" ref="R386:R449" si="47">IF(C386="","Open","Closed")</f>
        <v>Open</v>
      </c>
      <c r="S386" t="str">
        <f t="shared" ref="S386:S449" si="48">IF(C386="","Open",TEXT(C386,"mmm"))</f>
        <v>Open</v>
      </c>
    </row>
    <row r="387" spans="1:19" x14ac:dyDescent="0.25">
      <c r="A387" t="s">
        <v>466</v>
      </c>
      <c r="B387" s="1">
        <v>45714</v>
      </c>
      <c r="C387" s="1">
        <v>45717</v>
      </c>
      <c r="D387" t="s">
        <v>45</v>
      </c>
      <c r="E387" t="s">
        <v>29</v>
      </c>
      <c r="F387" t="s">
        <v>592</v>
      </c>
      <c r="G387" t="s">
        <v>31</v>
      </c>
      <c r="H387" t="s">
        <v>43</v>
      </c>
      <c r="I387" t="s">
        <v>33</v>
      </c>
      <c r="J387" t="s">
        <v>18</v>
      </c>
      <c r="K387" t="s">
        <v>19</v>
      </c>
      <c r="L387" t="s">
        <v>39</v>
      </c>
      <c r="M387">
        <f t="shared" si="42"/>
        <v>3</v>
      </c>
      <c r="N387">
        <f t="shared" si="43"/>
        <v>5</v>
      </c>
      <c r="O387" t="str">
        <f t="shared" si="44"/>
        <v>Met</v>
      </c>
      <c r="P387" t="str">
        <f t="shared" si="45"/>
        <v>Feb</v>
      </c>
      <c r="Q387">
        <f t="shared" si="46"/>
        <v>2025</v>
      </c>
      <c r="R387" t="str">
        <f t="shared" si="47"/>
        <v>Closed</v>
      </c>
      <c r="S387" t="str">
        <f t="shared" si="48"/>
        <v>Mar</v>
      </c>
    </row>
    <row r="388" spans="1:19" x14ac:dyDescent="0.25">
      <c r="A388" t="s">
        <v>467</v>
      </c>
      <c r="B388" s="1">
        <v>45973</v>
      </c>
      <c r="C388" s="1">
        <v>45974</v>
      </c>
      <c r="D388" t="s">
        <v>13</v>
      </c>
      <c r="E388" t="s">
        <v>29</v>
      </c>
      <c r="F388" t="s">
        <v>66</v>
      </c>
      <c r="G388" t="s">
        <v>55</v>
      </c>
      <c r="H388" t="s">
        <v>136</v>
      </c>
      <c r="I388" t="s">
        <v>47</v>
      </c>
      <c r="J388" t="s">
        <v>26</v>
      </c>
      <c r="K388" t="s">
        <v>20</v>
      </c>
      <c r="L388" t="s">
        <v>19</v>
      </c>
      <c r="M388">
        <f t="shared" si="42"/>
        <v>1</v>
      </c>
      <c r="N388">
        <f t="shared" si="43"/>
        <v>7</v>
      </c>
      <c r="O388" t="str">
        <f t="shared" si="44"/>
        <v>Met</v>
      </c>
      <c r="P388" t="str">
        <f t="shared" si="45"/>
        <v>Nov</v>
      </c>
      <c r="Q388">
        <f t="shared" si="46"/>
        <v>2025</v>
      </c>
      <c r="R388" t="str">
        <f t="shared" si="47"/>
        <v>Closed</v>
      </c>
      <c r="S388" t="str">
        <f t="shared" si="48"/>
        <v>Nov</v>
      </c>
    </row>
    <row r="389" spans="1:19" x14ac:dyDescent="0.25">
      <c r="A389" t="s">
        <v>468</v>
      </c>
      <c r="B389" s="1">
        <v>45822</v>
      </c>
      <c r="C389" s="1">
        <v>45822</v>
      </c>
      <c r="D389" t="s">
        <v>45</v>
      </c>
      <c r="E389" t="s">
        <v>14</v>
      </c>
      <c r="F389" t="s">
        <v>36</v>
      </c>
      <c r="G389" t="s">
        <v>31</v>
      </c>
      <c r="H389" t="s">
        <v>43</v>
      </c>
      <c r="I389" t="s">
        <v>69</v>
      </c>
      <c r="J389" t="s">
        <v>60</v>
      </c>
      <c r="K389" t="s">
        <v>39</v>
      </c>
      <c r="L389" t="s">
        <v>39</v>
      </c>
      <c r="M389">
        <f t="shared" si="42"/>
        <v>0</v>
      </c>
      <c r="N389">
        <f t="shared" si="43"/>
        <v>5</v>
      </c>
      <c r="O389" t="str">
        <f t="shared" si="44"/>
        <v>Met</v>
      </c>
      <c r="P389" t="str">
        <f t="shared" si="45"/>
        <v>Jun</v>
      </c>
      <c r="Q389">
        <f t="shared" si="46"/>
        <v>2025</v>
      </c>
      <c r="R389" t="str">
        <f t="shared" si="47"/>
        <v>Closed</v>
      </c>
      <c r="S389" t="str">
        <f t="shared" si="48"/>
        <v>Jun</v>
      </c>
    </row>
    <row r="390" spans="1:19" x14ac:dyDescent="0.25">
      <c r="A390" t="s">
        <v>469</v>
      </c>
      <c r="B390" s="1">
        <v>45923</v>
      </c>
      <c r="C390" s="1">
        <v>45928</v>
      </c>
      <c r="D390" t="s">
        <v>45</v>
      </c>
      <c r="E390" t="s">
        <v>29</v>
      </c>
      <c r="F390" t="s">
        <v>592</v>
      </c>
      <c r="G390" t="s">
        <v>591</v>
      </c>
      <c r="H390" t="s">
        <v>62</v>
      </c>
      <c r="I390" t="s">
        <v>25</v>
      </c>
      <c r="J390" t="s">
        <v>26</v>
      </c>
      <c r="K390" t="s">
        <v>19</v>
      </c>
      <c r="L390" t="s">
        <v>19</v>
      </c>
      <c r="M390">
        <f t="shared" si="42"/>
        <v>5</v>
      </c>
      <c r="N390">
        <f t="shared" si="43"/>
        <v>5</v>
      </c>
      <c r="O390" t="str">
        <f t="shared" si="44"/>
        <v>Met</v>
      </c>
      <c r="P390" t="str">
        <f t="shared" si="45"/>
        <v>Sep</v>
      </c>
      <c r="Q390">
        <f t="shared" si="46"/>
        <v>2025</v>
      </c>
      <c r="R390" t="str">
        <f t="shared" si="47"/>
        <v>Closed</v>
      </c>
      <c r="S390" t="str">
        <f t="shared" si="48"/>
        <v>Sep</v>
      </c>
    </row>
    <row r="391" spans="1:19" x14ac:dyDescent="0.25">
      <c r="A391" t="s">
        <v>470</v>
      </c>
      <c r="B391" s="1">
        <v>45698</v>
      </c>
      <c r="C391" s="1">
        <v>45700</v>
      </c>
      <c r="D391" t="s">
        <v>45</v>
      </c>
      <c r="E391" t="s">
        <v>14</v>
      </c>
      <c r="F391" t="s">
        <v>30</v>
      </c>
      <c r="G391" t="s">
        <v>23</v>
      </c>
      <c r="H391" t="s">
        <v>136</v>
      </c>
      <c r="I391" t="s">
        <v>25</v>
      </c>
      <c r="J391" t="s">
        <v>26</v>
      </c>
      <c r="K391" t="s">
        <v>20</v>
      </c>
      <c r="L391" t="s">
        <v>20</v>
      </c>
      <c r="M391">
        <f t="shared" si="42"/>
        <v>2</v>
      </c>
      <c r="N391">
        <f t="shared" si="43"/>
        <v>5</v>
      </c>
      <c r="O391" t="str">
        <f t="shared" si="44"/>
        <v>Met</v>
      </c>
      <c r="P391" t="str">
        <f t="shared" si="45"/>
        <v>Feb</v>
      </c>
      <c r="Q391">
        <f t="shared" si="46"/>
        <v>2025</v>
      </c>
      <c r="R391" t="str">
        <f t="shared" si="47"/>
        <v>Closed</v>
      </c>
      <c r="S391" t="str">
        <f t="shared" si="48"/>
        <v>Feb</v>
      </c>
    </row>
    <row r="392" spans="1:19" x14ac:dyDescent="0.25">
      <c r="A392" t="s">
        <v>471</v>
      </c>
      <c r="B392" s="1">
        <v>45864</v>
      </c>
      <c r="C392" s="1">
        <v>45870</v>
      </c>
      <c r="D392" t="s">
        <v>13</v>
      </c>
      <c r="E392" t="s">
        <v>14</v>
      </c>
      <c r="F392" t="s">
        <v>592</v>
      </c>
      <c r="G392" t="s">
        <v>16</v>
      </c>
      <c r="H392" t="s">
        <v>24</v>
      </c>
      <c r="I392" t="s">
        <v>69</v>
      </c>
      <c r="J392" t="s">
        <v>60</v>
      </c>
      <c r="K392" t="s">
        <v>20</v>
      </c>
      <c r="L392" t="s">
        <v>39</v>
      </c>
      <c r="M392">
        <f t="shared" si="42"/>
        <v>6</v>
      </c>
      <c r="N392">
        <f t="shared" si="43"/>
        <v>7</v>
      </c>
      <c r="O392" t="str">
        <f t="shared" si="44"/>
        <v>Met</v>
      </c>
      <c r="P392" t="str">
        <f t="shared" si="45"/>
        <v>Jul</v>
      </c>
      <c r="Q392">
        <f t="shared" si="46"/>
        <v>2025</v>
      </c>
      <c r="R392" t="str">
        <f t="shared" si="47"/>
        <v>Closed</v>
      </c>
      <c r="S392" t="str">
        <f t="shared" si="48"/>
        <v>Aug</v>
      </c>
    </row>
    <row r="393" spans="1:19" x14ac:dyDescent="0.25">
      <c r="A393" t="s">
        <v>472</v>
      </c>
      <c r="B393" s="1">
        <v>46015</v>
      </c>
      <c r="C393" s="1">
        <v>46021</v>
      </c>
      <c r="D393" t="s">
        <v>13</v>
      </c>
      <c r="E393" t="s">
        <v>29</v>
      </c>
      <c r="F393" t="s">
        <v>66</v>
      </c>
      <c r="G393" t="s">
        <v>23</v>
      </c>
      <c r="H393" t="s">
        <v>77</v>
      </c>
      <c r="I393" t="s">
        <v>47</v>
      </c>
      <c r="J393" t="s">
        <v>26</v>
      </c>
      <c r="K393" t="s">
        <v>20</v>
      </c>
      <c r="L393" t="s">
        <v>19</v>
      </c>
      <c r="M393">
        <f t="shared" si="42"/>
        <v>6</v>
      </c>
      <c r="N393">
        <f t="shared" si="43"/>
        <v>7</v>
      </c>
      <c r="O393" t="str">
        <f t="shared" si="44"/>
        <v>Met</v>
      </c>
      <c r="P393" t="str">
        <f t="shared" si="45"/>
        <v>Dec</v>
      </c>
      <c r="Q393">
        <f t="shared" si="46"/>
        <v>2025</v>
      </c>
      <c r="R393" t="str">
        <f t="shared" si="47"/>
        <v>Closed</v>
      </c>
      <c r="S393" t="str">
        <f t="shared" si="48"/>
        <v>Dec</v>
      </c>
    </row>
    <row r="394" spans="1:19" x14ac:dyDescent="0.25">
      <c r="A394" t="s">
        <v>473</v>
      </c>
      <c r="B394" s="1">
        <v>45674</v>
      </c>
      <c r="C394" s="1">
        <v>45678</v>
      </c>
      <c r="D394" t="s">
        <v>13</v>
      </c>
      <c r="E394" t="s">
        <v>14</v>
      </c>
      <c r="F394" t="s">
        <v>592</v>
      </c>
      <c r="G394" t="s">
        <v>31</v>
      </c>
      <c r="H394" t="s">
        <v>37</v>
      </c>
      <c r="I394" t="s">
        <v>52</v>
      </c>
      <c r="J394" t="s">
        <v>26</v>
      </c>
      <c r="K394" t="s">
        <v>39</v>
      </c>
      <c r="L394" t="s">
        <v>39</v>
      </c>
      <c r="M394">
        <f t="shared" si="42"/>
        <v>4</v>
      </c>
      <c r="N394">
        <f t="shared" si="43"/>
        <v>7</v>
      </c>
      <c r="O394" t="str">
        <f t="shared" si="44"/>
        <v>Met</v>
      </c>
      <c r="P394" t="str">
        <f t="shared" si="45"/>
        <v>Jan</v>
      </c>
      <c r="Q394">
        <f t="shared" si="46"/>
        <v>2025</v>
      </c>
      <c r="R394" t="str">
        <f t="shared" si="47"/>
        <v>Closed</v>
      </c>
      <c r="S394" t="str">
        <f t="shared" si="48"/>
        <v>Jan</v>
      </c>
    </row>
    <row r="395" spans="1:19" x14ac:dyDescent="0.25">
      <c r="A395" t="s">
        <v>474</v>
      </c>
      <c r="B395" s="1">
        <v>45941</v>
      </c>
      <c r="D395" t="s">
        <v>28</v>
      </c>
      <c r="E395" t="s">
        <v>58</v>
      </c>
      <c r="F395" t="s">
        <v>36</v>
      </c>
      <c r="G395" t="s">
        <v>31</v>
      </c>
      <c r="H395" t="s">
        <v>128</v>
      </c>
      <c r="I395" t="s">
        <v>69</v>
      </c>
      <c r="J395" t="s">
        <v>60</v>
      </c>
      <c r="K395" t="s">
        <v>39</v>
      </c>
      <c r="L395" t="s">
        <v>20</v>
      </c>
      <c r="M395" t="str">
        <f t="shared" si="42"/>
        <v/>
      </c>
      <c r="N395">
        <f t="shared" si="43"/>
        <v>1</v>
      </c>
      <c r="O395" t="str">
        <f t="shared" si="44"/>
        <v>Open</v>
      </c>
      <c r="P395" t="str">
        <f t="shared" si="45"/>
        <v>Oct</v>
      </c>
      <c r="Q395">
        <f t="shared" si="46"/>
        <v>2025</v>
      </c>
      <c r="R395" t="str">
        <f t="shared" si="47"/>
        <v>Open</v>
      </c>
      <c r="S395" t="str">
        <f t="shared" si="48"/>
        <v>Open</v>
      </c>
    </row>
    <row r="396" spans="1:19" x14ac:dyDescent="0.25">
      <c r="A396" t="s">
        <v>475</v>
      </c>
      <c r="B396" s="1">
        <v>45868</v>
      </c>
      <c r="C396" s="1">
        <v>45870</v>
      </c>
      <c r="D396" t="s">
        <v>49</v>
      </c>
      <c r="E396" t="s">
        <v>29</v>
      </c>
      <c r="F396" t="s">
        <v>30</v>
      </c>
      <c r="G396" t="s">
        <v>42</v>
      </c>
      <c r="H396" t="s">
        <v>134</v>
      </c>
      <c r="I396" t="s">
        <v>33</v>
      </c>
      <c r="J396" t="s">
        <v>18</v>
      </c>
      <c r="K396" t="s">
        <v>20</v>
      </c>
      <c r="L396" t="s">
        <v>39</v>
      </c>
      <c r="M396">
        <f t="shared" si="42"/>
        <v>2</v>
      </c>
      <c r="N396">
        <f t="shared" si="43"/>
        <v>3</v>
      </c>
      <c r="O396" t="str">
        <f t="shared" si="44"/>
        <v>Met</v>
      </c>
      <c r="P396" t="str">
        <f t="shared" si="45"/>
        <v>Jul</v>
      </c>
      <c r="Q396">
        <f t="shared" si="46"/>
        <v>2025</v>
      </c>
      <c r="R396" t="str">
        <f t="shared" si="47"/>
        <v>Closed</v>
      </c>
      <c r="S396" t="str">
        <f t="shared" si="48"/>
        <v>Aug</v>
      </c>
    </row>
    <row r="397" spans="1:19" x14ac:dyDescent="0.25">
      <c r="A397" t="s">
        <v>476</v>
      </c>
      <c r="B397" s="1">
        <v>45974</v>
      </c>
      <c r="C397" s="1">
        <v>45975</v>
      </c>
      <c r="D397" t="s">
        <v>49</v>
      </c>
      <c r="E397" t="s">
        <v>14</v>
      </c>
      <c r="F397" t="s">
        <v>36</v>
      </c>
      <c r="G397" t="s">
        <v>23</v>
      </c>
      <c r="H397" t="s">
        <v>56</v>
      </c>
      <c r="I397" t="s">
        <v>38</v>
      </c>
      <c r="J397" t="s">
        <v>18</v>
      </c>
      <c r="K397" t="s">
        <v>19</v>
      </c>
      <c r="L397" t="s">
        <v>39</v>
      </c>
      <c r="M397">
        <f t="shared" si="42"/>
        <v>1</v>
      </c>
      <c r="N397">
        <f t="shared" si="43"/>
        <v>3</v>
      </c>
      <c r="O397" t="str">
        <f t="shared" si="44"/>
        <v>Met</v>
      </c>
      <c r="P397" t="str">
        <f t="shared" si="45"/>
        <v>Nov</v>
      </c>
      <c r="Q397">
        <f t="shared" si="46"/>
        <v>2025</v>
      </c>
      <c r="R397" t="str">
        <f t="shared" si="47"/>
        <v>Closed</v>
      </c>
      <c r="S397" t="str">
        <f t="shared" si="48"/>
        <v>Nov</v>
      </c>
    </row>
    <row r="398" spans="1:19" x14ac:dyDescent="0.25">
      <c r="A398" t="s">
        <v>477</v>
      </c>
      <c r="B398" s="1">
        <v>45697</v>
      </c>
      <c r="C398" s="1">
        <v>45700</v>
      </c>
      <c r="D398" t="s">
        <v>45</v>
      </c>
      <c r="E398" t="s">
        <v>14</v>
      </c>
      <c r="F398" t="s">
        <v>36</v>
      </c>
      <c r="G398" t="s">
        <v>42</v>
      </c>
      <c r="H398" t="s">
        <v>43</v>
      </c>
      <c r="I398" t="s">
        <v>25</v>
      </c>
      <c r="J398" t="s">
        <v>34</v>
      </c>
      <c r="K398" t="s">
        <v>20</v>
      </c>
      <c r="L398" t="s">
        <v>19</v>
      </c>
      <c r="M398">
        <f t="shared" si="42"/>
        <v>3</v>
      </c>
      <c r="N398">
        <f t="shared" si="43"/>
        <v>5</v>
      </c>
      <c r="O398" t="str">
        <f t="shared" si="44"/>
        <v>Met</v>
      </c>
      <c r="P398" t="str">
        <f t="shared" si="45"/>
        <v>Feb</v>
      </c>
      <c r="Q398">
        <f t="shared" si="46"/>
        <v>2025</v>
      </c>
      <c r="R398" t="str">
        <f t="shared" si="47"/>
        <v>Closed</v>
      </c>
      <c r="S398" t="str">
        <f t="shared" si="48"/>
        <v>Feb</v>
      </c>
    </row>
    <row r="399" spans="1:19" x14ac:dyDescent="0.25">
      <c r="A399" t="s">
        <v>478</v>
      </c>
      <c r="B399" s="1">
        <v>45906</v>
      </c>
      <c r="C399" s="1">
        <v>45907</v>
      </c>
      <c r="D399" t="s">
        <v>28</v>
      </c>
      <c r="E399" t="s">
        <v>29</v>
      </c>
      <c r="F399" t="s">
        <v>50</v>
      </c>
      <c r="G399" t="s">
        <v>23</v>
      </c>
      <c r="H399" t="s">
        <v>43</v>
      </c>
      <c r="I399" t="s">
        <v>52</v>
      </c>
      <c r="J399" t="s">
        <v>26</v>
      </c>
      <c r="K399" t="s">
        <v>39</v>
      </c>
      <c r="L399" t="s">
        <v>20</v>
      </c>
      <c r="M399">
        <f t="shared" si="42"/>
        <v>1</v>
      </c>
      <c r="N399">
        <f t="shared" si="43"/>
        <v>1</v>
      </c>
      <c r="O399" t="str">
        <f t="shared" si="44"/>
        <v>Met</v>
      </c>
      <c r="P399" t="str">
        <f t="shared" si="45"/>
        <v>Sep</v>
      </c>
      <c r="Q399">
        <f t="shared" si="46"/>
        <v>2025</v>
      </c>
      <c r="R399" t="str">
        <f t="shared" si="47"/>
        <v>Closed</v>
      </c>
      <c r="S399" t="str">
        <f t="shared" si="48"/>
        <v>Sep</v>
      </c>
    </row>
    <row r="400" spans="1:19" x14ac:dyDescent="0.25">
      <c r="A400" t="s">
        <v>479</v>
      </c>
      <c r="B400" s="1">
        <v>45768</v>
      </c>
      <c r="C400" s="1">
        <v>45768</v>
      </c>
      <c r="D400" t="s">
        <v>45</v>
      </c>
      <c r="E400" t="s">
        <v>14</v>
      </c>
      <c r="F400" t="s">
        <v>15</v>
      </c>
      <c r="G400" t="s">
        <v>591</v>
      </c>
      <c r="H400" t="s">
        <v>32</v>
      </c>
      <c r="I400" t="s">
        <v>17</v>
      </c>
      <c r="J400" t="s">
        <v>34</v>
      </c>
      <c r="K400" t="s">
        <v>39</v>
      </c>
      <c r="L400" t="s">
        <v>39</v>
      </c>
      <c r="M400">
        <f t="shared" si="42"/>
        <v>0</v>
      </c>
      <c r="N400">
        <f t="shared" si="43"/>
        <v>5</v>
      </c>
      <c r="O400" t="str">
        <f t="shared" si="44"/>
        <v>Met</v>
      </c>
      <c r="P400" t="str">
        <f t="shared" si="45"/>
        <v>Apr</v>
      </c>
      <c r="Q400">
        <f t="shared" si="46"/>
        <v>2025</v>
      </c>
      <c r="R400" t="str">
        <f t="shared" si="47"/>
        <v>Closed</v>
      </c>
      <c r="S400" t="str">
        <f t="shared" si="48"/>
        <v>Apr</v>
      </c>
    </row>
    <row r="401" spans="1:19" x14ac:dyDescent="0.25">
      <c r="A401" t="s">
        <v>480</v>
      </c>
      <c r="B401" s="1">
        <v>45665</v>
      </c>
      <c r="C401" s="1">
        <v>45665</v>
      </c>
      <c r="D401" t="s">
        <v>13</v>
      </c>
      <c r="E401" t="s">
        <v>29</v>
      </c>
      <c r="F401" t="s">
        <v>66</v>
      </c>
      <c r="G401" t="s">
        <v>23</v>
      </c>
      <c r="H401" t="s">
        <v>32</v>
      </c>
      <c r="I401" t="s">
        <v>38</v>
      </c>
      <c r="J401" t="s">
        <v>60</v>
      </c>
      <c r="K401" t="s">
        <v>39</v>
      </c>
      <c r="L401" t="s">
        <v>39</v>
      </c>
      <c r="M401">
        <f t="shared" si="42"/>
        <v>0</v>
      </c>
      <c r="N401">
        <f t="shared" si="43"/>
        <v>7</v>
      </c>
      <c r="O401" t="str">
        <f t="shared" si="44"/>
        <v>Met</v>
      </c>
      <c r="P401" t="str">
        <f t="shared" si="45"/>
        <v>Jan</v>
      </c>
      <c r="Q401">
        <f t="shared" si="46"/>
        <v>2025</v>
      </c>
      <c r="R401" t="str">
        <f t="shared" si="47"/>
        <v>Closed</v>
      </c>
      <c r="S401" t="str">
        <f t="shared" si="48"/>
        <v>Jan</v>
      </c>
    </row>
    <row r="402" spans="1:19" x14ac:dyDescent="0.25">
      <c r="A402" t="s">
        <v>481</v>
      </c>
      <c r="B402" s="1">
        <v>45823</v>
      </c>
      <c r="D402" t="s">
        <v>13</v>
      </c>
      <c r="E402" t="s">
        <v>58</v>
      </c>
      <c r="F402" t="s">
        <v>592</v>
      </c>
      <c r="G402" t="s">
        <v>16</v>
      </c>
      <c r="H402" t="s">
        <v>56</v>
      </c>
      <c r="I402" t="s">
        <v>69</v>
      </c>
      <c r="J402" t="s">
        <v>18</v>
      </c>
      <c r="K402" t="s">
        <v>39</v>
      </c>
      <c r="L402" t="s">
        <v>19</v>
      </c>
      <c r="M402" t="str">
        <f t="shared" si="42"/>
        <v/>
      </c>
      <c r="N402">
        <f t="shared" si="43"/>
        <v>7</v>
      </c>
      <c r="O402" t="str">
        <f t="shared" si="44"/>
        <v>Open</v>
      </c>
      <c r="P402" t="str">
        <f t="shared" si="45"/>
        <v>Jun</v>
      </c>
      <c r="Q402">
        <f t="shared" si="46"/>
        <v>2025</v>
      </c>
      <c r="R402" t="str">
        <f t="shared" si="47"/>
        <v>Open</v>
      </c>
      <c r="S402" t="str">
        <f t="shared" si="48"/>
        <v>Open</v>
      </c>
    </row>
    <row r="403" spans="1:19" x14ac:dyDescent="0.25">
      <c r="A403" t="s">
        <v>482</v>
      </c>
      <c r="B403" s="1">
        <v>45949</v>
      </c>
      <c r="D403" t="s">
        <v>28</v>
      </c>
      <c r="E403" t="s">
        <v>58</v>
      </c>
      <c r="F403" t="s">
        <v>592</v>
      </c>
      <c r="G403" t="s">
        <v>23</v>
      </c>
      <c r="H403" t="s">
        <v>151</v>
      </c>
      <c r="I403" t="s">
        <v>33</v>
      </c>
      <c r="J403" t="s">
        <v>18</v>
      </c>
      <c r="K403" t="s">
        <v>20</v>
      </c>
      <c r="L403" t="s">
        <v>19</v>
      </c>
      <c r="M403" t="str">
        <f t="shared" si="42"/>
        <v/>
      </c>
      <c r="N403">
        <f t="shared" si="43"/>
        <v>1</v>
      </c>
      <c r="O403" t="str">
        <f t="shared" si="44"/>
        <v>Open</v>
      </c>
      <c r="P403" t="str">
        <f t="shared" si="45"/>
        <v>Oct</v>
      </c>
      <c r="Q403">
        <f t="shared" si="46"/>
        <v>2025</v>
      </c>
      <c r="R403" t="str">
        <f t="shared" si="47"/>
        <v>Open</v>
      </c>
      <c r="S403" t="str">
        <f t="shared" si="48"/>
        <v>Open</v>
      </c>
    </row>
    <row r="404" spans="1:19" x14ac:dyDescent="0.25">
      <c r="A404" t="s">
        <v>483</v>
      </c>
      <c r="B404" s="1">
        <v>45777</v>
      </c>
      <c r="C404" s="1">
        <v>45777</v>
      </c>
      <c r="D404" t="s">
        <v>28</v>
      </c>
      <c r="E404" t="s">
        <v>29</v>
      </c>
      <c r="F404" t="s">
        <v>592</v>
      </c>
      <c r="G404" t="s">
        <v>23</v>
      </c>
      <c r="H404" t="s">
        <v>43</v>
      </c>
      <c r="I404" t="s">
        <v>17</v>
      </c>
      <c r="J404" t="s">
        <v>18</v>
      </c>
      <c r="K404" t="s">
        <v>19</v>
      </c>
      <c r="L404" t="s">
        <v>20</v>
      </c>
      <c r="M404">
        <f t="shared" si="42"/>
        <v>0</v>
      </c>
      <c r="N404">
        <f t="shared" si="43"/>
        <v>1</v>
      </c>
      <c r="O404" t="str">
        <f t="shared" si="44"/>
        <v>Met</v>
      </c>
      <c r="P404" t="str">
        <f t="shared" si="45"/>
        <v>Apr</v>
      </c>
      <c r="Q404">
        <f t="shared" si="46"/>
        <v>2025</v>
      </c>
      <c r="R404" t="str">
        <f t="shared" si="47"/>
        <v>Closed</v>
      </c>
      <c r="S404" t="str">
        <f t="shared" si="48"/>
        <v>Apr</v>
      </c>
    </row>
    <row r="405" spans="1:19" x14ac:dyDescent="0.25">
      <c r="A405" t="s">
        <v>484</v>
      </c>
      <c r="B405" s="1">
        <v>45820</v>
      </c>
      <c r="C405" s="1">
        <v>45822</v>
      </c>
      <c r="D405" t="s">
        <v>49</v>
      </c>
      <c r="E405" t="s">
        <v>14</v>
      </c>
      <c r="F405" t="s">
        <v>36</v>
      </c>
      <c r="G405" t="s">
        <v>55</v>
      </c>
      <c r="H405" t="s">
        <v>59</v>
      </c>
      <c r="I405" t="s">
        <v>33</v>
      </c>
      <c r="J405" t="s">
        <v>18</v>
      </c>
      <c r="K405" t="s">
        <v>19</v>
      </c>
      <c r="L405" t="s">
        <v>20</v>
      </c>
      <c r="M405">
        <f t="shared" si="42"/>
        <v>2</v>
      </c>
      <c r="N405">
        <f t="shared" si="43"/>
        <v>3</v>
      </c>
      <c r="O405" t="str">
        <f t="shared" si="44"/>
        <v>Met</v>
      </c>
      <c r="P405" t="str">
        <f t="shared" si="45"/>
        <v>Jun</v>
      </c>
      <c r="Q405">
        <f t="shared" si="46"/>
        <v>2025</v>
      </c>
      <c r="R405" t="str">
        <f t="shared" si="47"/>
        <v>Closed</v>
      </c>
      <c r="S405" t="str">
        <f t="shared" si="48"/>
        <v>Jun</v>
      </c>
    </row>
    <row r="406" spans="1:19" x14ac:dyDescent="0.25">
      <c r="A406" t="s">
        <v>485</v>
      </c>
      <c r="B406" s="1">
        <v>45980</v>
      </c>
      <c r="D406" t="s">
        <v>28</v>
      </c>
      <c r="E406" t="s">
        <v>76</v>
      </c>
      <c r="F406" t="s">
        <v>30</v>
      </c>
      <c r="G406" t="s">
        <v>31</v>
      </c>
      <c r="H406" t="s">
        <v>32</v>
      </c>
      <c r="I406" t="s">
        <v>38</v>
      </c>
      <c r="J406" t="s">
        <v>18</v>
      </c>
      <c r="K406" t="s">
        <v>20</v>
      </c>
      <c r="L406" t="s">
        <v>39</v>
      </c>
      <c r="M406" t="str">
        <f t="shared" si="42"/>
        <v/>
      </c>
      <c r="N406">
        <f t="shared" si="43"/>
        <v>1</v>
      </c>
      <c r="O406" t="str">
        <f t="shared" si="44"/>
        <v>Open</v>
      </c>
      <c r="P406" t="str">
        <f t="shared" si="45"/>
        <v>Nov</v>
      </c>
      <c r="Q406">
        <f t="shared" si="46"/>
        <v>2025</v>
      </c>
      <c r="R406" t="str">
        <f t="shared" si="47"/>
        <v>Open</v>
      </c>
      <c r="S406" t="str">
        <f t="shared" si="48"/>
        <v>Open</v>
      </c>
    </row>
    <row r="407" spans="1:19" x14ac:dyDescent="0.25">
      <c r="A407" t="s">
        <v>486</v>
      </c>
      <c r="B407" s="1">
        <v>45783</v>
      </c>
      <c r="C407" s="1">
        <v>45784</v>
      </c>
      <c r="D407" t="s">
        <v>49</v>
      </c>
      <c r="E407" t="s">
        <v>29</v>
      </c>
      <c r="F407" t="s">
        <v>41</v>
      </c>
      <c r="G407" t="s">
        <v>42</v>
      </c>
      <c r="H407" t="s">
        <v>136</v>
      </c>
      <c r="I407" t="s">
        <v>47</v>
      </c>
      <c r="J407" t="s">
        <v>18</v>
      </c>
      <c r="K407" t="s">
        <v>39</v>
      </c>
      <c r="L407" t="s">
        <v>20</v>
      </c>
      <c r="M407">
        <f t="shared" si="42"/>
        <v>1</v>
      </c>
      <c r="N407">
        <f t="shared" si="43"/>
        <v>3</v>
      </c>
      <c r="O407" t="str">
        <f t="shared" si="44"/>
        <v>Met</v>
      </c>
      <c r="P407" t="str">
        <f t="shared" si="45"/>
        <v>May</v>
      </c>
      <c r="Q407">
        <f t="shared" si="46"/>
        <v>2025</v>
      </c>
      <c r="R407" t="str">
        <f t="shared" si="47"/>
        <v>Closed</v>
      </c>
      <c r="S407" t="str">
        <f t="shared" si="48"/>
        <v>May</v>
      </c>
    </row>
    <row r="408" spans="1:19" x14ac:dyDescent="0.25">
      <c r="A408" t="s">
        <v>487</v>
      </c>
      <c r="B408" s="1">
        <v>45700</v>
      </c>
      <c r="C408" s="1">
        <v>45701</v>
      </c>
      <c r="D408" t="s">
        <v>49</v>
      </c>
      <c r="E408" t="s">
        <v>14</v>
      </c>
      <c r="F408" t="s">
        <v>41</v>
      </c>
      <c r="G408" t="s">
        <v>23</v>
      </c>
      <c r="H408" t="s">
        <v>151</v>
      </c>
      <c r="I408" t="s">
        <v>25</v>
      </c>
      <c r="J408" t="s">
        <v>60</v>
      </c>
      <c r="K408" t="s">
        <v>19</v>
      </c>
      <c r="L408" t="s">
        <v>19</v>
      </c>
      <c r="M408">
        <f t="shared" si="42"/>
        <v>1</v>
      </c>
      <c r="N408">
        <f t="shared" si="43"/>
        <v>3</v>
      </c>
      <c r="O408" t="str">
        <f t="shared" si="44"/>
        <v>Met</v>
      </c>
      <c r="P408" t="str">
        <f t="shared" si="45"/>
        <v>Feb</v>
      </c>
      <c r="Q408">
        <f t="shared" si="46"/>
        <v>2025</v>
      </c>
      <c r="R408" t="str">
        <f t="shared" si="47"/>
        <v>Closed</v>
      </c>
      <c r="S408" t="str">
        <f t="shared" si="48"/>
        <v>Feb</v>
      </c>
    </row>
    <row r="409" spans="1:19" x14ac:dyDescent="0.25">
      <c r="A409" t="s">
        <v>488</v>
      </c>
      <c r="B409" s="1">
        <v>45909</v>
      </c>
      <c r="C409" s="1">
        <v>45911</v>
      </c>
      <c r="D409" t="s">
        <v>45</v>
      </c>
      <c r="E409" t="s">
        <v>29</v>
      </c>
      <c r="F409" t="s">
        <v>15</v>
      </c>
      <c r="G409" t="s">
        <v>16</v>
      </c>
      <c r="H409" t="s">
        <v>77</v>
      </c>
      <c r="I409" t="s">
        <v>33</v>
      </c>
      <c r="J409" t="s">
        <v>18</v>
      </c>
      <c r="K409" t="s">
        <v>19</v>
      </c>
      <c r="L409" t="s">
        <v>19</v>
      </c>
      <c r="M409">
        <f t="shared" si="42"/>
        <v>2</v>
      </c>
      <c r="N409">
        <f t="shared" si="43"/>
        <v>5</v>
      </c>
      <c r="O409" t="str">
        <f t="shared" si="44"/>
        <v>Met</v>
      </c>
      <c r="P409" t="str">
        <f t="shared" si="45"/>
        <v>Sep</v>
      </c>
      <c r="Q409">
        <f t="shared" si="46"/>
        <v>2025</v>
      </c>
      <c r="R409" t="str">
        <f t="shared" si="47"/>
        <v>Closed</v>
      </c>
      <c r="S409" t="str">
        <f t="shared" si="48"/>
        <v>Sep</v>
      </c>
    </row>
    <row r="410" spans="1:19" x14ac:dyDescent="0.25">
      <c r="A410" t="s">
        <v>489</v>
      </c>
      <c r="B410" s="1">
        <v>45687</v>
      </c>
      <c r="C410" s="1">
        <v>45688</v>
      </c>
      <c r="D410" t="s">
        <v>49</v>
      </c>
      <c r="E410" t="s">
        <v>14</v>
      </c>
      <c r="F410" t="s">
        <v>36</v>
      </c>
      <c r="G410" t="s">
        <v>31</v>
      </c>
      <c r="H410" t="s">
        <v>136</v>
      </c>
      <c r="I410" t="s">
        <v>25</v>
      </c>
      <c r="J410" t="s">
        <v>60</v>
      </c>
      <c r="K410" t="s">
        <v>39</v>
      </c>
      <c r="L410" t="s">
        <v>19</v>
      </c>
      <c r="M410">
        <f t="shared" si="42"/>
        <v>1</v>
      </c>
      <c r="N410">
        <f t="shared" si="43"/>
        <v>3</v>
      </c>
      <c r="O410" t="str">
        <f t="shared" si="44"/>
        <v>Met</v>
      </c>
      <c r="P410" t="str">
        <f t="shared" si="45"/>
        <v>Jan</v>
      </c>
      <c r="Q410">
        <f t="shared" si="46"/>
        <v>2025</v>
      </c>
      <c r="R410" t="str">
        <f t="shared" si="47"/>
        <v>Closed</v>
      </c>
      <c r="S410" t="str">
        <f t="shared" si="48"/>
        <v>Jan</v>
      </c>
    </row>
    <row r="411" spans="1:19" x14ac:dyDescent="0.25">
      <c r="A411" t="s">
        <v>490</v>
      </c>
      <c r="B411" s="1">
        <v>45854</v>
      </c>
      <c r="C411" s="1">
        <v>45855</v>
      </c>
      <c r="D411" t="s">
        <v>28</v>
      </c>
      <c r="E411" t="s">
        <v>29</v>
      </c>
      <c r="F411" t="s">
        <v>50</v>
      </c>
      <c r="G411" t="s">
        <v>16</v>
      </c>
      <c r="H411" t="s">
        <v>77</v>
      </c>
      <c r="I411" t="s">
        <v>25</v>
      </c>
      <c r="J411" t="s">
        <v>26</v>
      </c>
      <c r="K411" t="s">
        <v>39</v>
      </c>
      <c r="L411" t="s">
        <v>20</v>
      </c>
      <c r="M411">
        <f t="shared" si="42"/>
        <v>1</v>
      </c>
      <c r="N411">
        <f t="shared" si="43"/>
        <v>1</v>
      </c>
      <c r="O411" t="str">
        <f t="shared" si="44"/>
        <v>Met</v>
      </c>
      <c r="P411" t="str">
        <f t="shared" si="45"/>
        <v>Jul</v>
      </c>
      <c r="Q411">
        <f t="shared" si="46"/>
        <v>2025</v>
      </c>
      <c r="R411" t="str">
        <f t="shared" si="47"/>
        <v>Closed</v>
      </c>
      <c r="S411" t="str">
        <f t="shared" si="48"/>
        <v>Jul</v>
      </c>
    </row>
    <row r="412" spans="1:19" x14ac:dyDescent="0.25">
      <c r="A412" t="s">
        <v>491</v>
      </c>
      <c r="B412" s="1">
        <v>45861</v>
      </c>
      <c r="C412" s="1">
        <v>45861</v>
      </c>
      <c r="D412" t="s">
        <v>49</v>
      </c>
      <c r="E412" t="s">
        <v>14</v>
      </c>
      <c r="F412" t="s">
        <v>592</v>
      </c>
      <c r="G412" t="s">
        <v>23</v>
      </c>
      <c r="H412" t="s">
        <v>110</v>
      </c>
      <c r="I412" t="s">
        <v>33</v>
      </c>
      <c r="J412" t="s">
        <v>60</v>
      </c>
      <c r="K412" t="s">
        <v>20</v>
      </c>
      <c r="L412" t="s">
        <v>19</v>
      </c>
      <c r="M412">
        <f t="shared" si="42"/>
        <v>0</v>
      </c>
      <c r="N412">
        <f t="shared" si="43"/>
        <v>3</v>
      </c>
      <c r="O412" t="str">
        <f t="shared" si="44"/>
        <v>Met</v>
      </c>
      <c r="P412" t="str">
        <f t="shared" si="45"/>
        <v>Jul</v>
      </c>
      <c r="Q412">
        <f t="shared" si="46"/>
        <v>2025</v>
      </c>
      <c r="R412" t="str">
        <f t="shared" si="47"/>
        <v>Closed</v>
      </c>
      <c r="S412" t="str">
        <f t="shared" si="48"/>
        <v>Jul</v>
      </c>
    </row>
    <row r="413" spans="1:19" x14ac:dyDescent="0.25">
      <c r="A413" t="s">
        <v>492</v>
      </c>
      <c r="B413" s="1">
        <v>45753</v>
      </c>
      <c r="D413" t="s">
        <v>28</v>
      </c>
      <c r="E413" t="s">
        <v>58</v>
      </c>
      <c r="F413" t="s">
        <v>30</v>
      </c>
      <c r="G413" t="s">
        <v>16</v>
      </c>
      <c r="H413" t="s">
        <v>79</v>
      </c>
      <c r="I413" t="s">
        <v>38</v>
      </c>
      <c r="J413" t="s">
        <v>60</v>
      </c>
      <c r="K413" t="s">
        <v>20</v>
      </c>
      <c r="L413" t="s">
        <v>39</v>
      </c>
      <c r="M413" t="str">
        <f t="shared" si="42"/>
        <v/>
      </c>
      <c r="N413">
        <f t="shared" si="43"/>
        <v>1</v>
      </c>
      <c r="O413" t="str">
        <f t="shared" si="44"/>
        <v>Open</v>
      </c>
      <c r="P413" t="str">
        <f t="shared" si="45"/>
        <v>Apr</v>
      </c>
      <c r="Q413">
        <f t="shared" si="46"/>
        <v>2025</v>
      </c>
      <c r="R413" t="str">
        <f t="shared" si="47"/>
        <v>Open</v>
      </c>
      <c r="S413" t="str">
        <f t="shared" si="48"/>
        <v>Open</v>
      </c>
    </row>
    <row r="414" spans="1:19" x14ac:dyDescent="0.25">
      <c r="A414" t="s">
        <v>493</v>
      </c>
      <c r="B414" s="1">
        <v>45957</v>
      </c>
      <c r="D414" t="s">
        <v>13</v>
      </c>
      <c r="E414" t="s">
        <v>58</v>
      </c>
      <c r="F414" t="s">
        <v>36</v>
      </c>
      <c r="G414" t="s">
        <v>55</v>
      </c>
      <c r="H414" t="s">
        <v>128</v>
      </c>
      <c r="I414" t="s">
        <v>33</v>
      </c>
      <c r="J414" t="s">
        <v>26</v>
      </c>
      <c r="K414" t="s">
        <v>20</v>
      </c>
      <c r="L414" t="s">
        <v>20</v>
      </c>
      <c r="M414" t="str">
        <f t="shared" si="42"/>
        <v/>
      </c>
      <c r="N414">
        <f t="shared" si="43"/>
        <v>7</v>
      </c>
      <c r="O414" t="str">
        <f t="shared" si="44"/>
        <v>Open</v>
      </c>
      <c r="P414" t="str">
        <f t="shared" si="45"/>
        <v>Oct</v>
      </c>
      <c r="Q414">
        <f t="shared" si="46"/>
        <v>2025</v>
      </c>
      <c r="R414" t="str">
        <f t="shared" si="47"/>
        <v>Open</v>
      </c>
      <c r="S414" t="str">
        <f t="shared" si="48"/>
        <v>Open</v>
      </c>
    </row>
    <row r="415" spans="1:19" x14ac:dyDescent="0.25">
      <c r="A415" t="s">
        <v>495</v>
      </c>
      <c r="B415" s="1">
        <v>45967</v>
      </c>
      <c r="C415" s="1">
        <v>45972</v>
      </c>
      <c r="D415" t="s">
        <v>13</v>
      </c>
      <c r="E415" t="s">
        <v>29</v>
      </c>
      <c r="F415" t="s">
        <v>22</v>
      </c>
      <c r="G415" t="s">
        <v>23</v>
      </c>
      <c r="H415" t="s">
        <v>95</v>
      </c>
      <c r="I415" t="s">
        <v>52</v>
      </c>
      <c r="J415" t="s">
        <v>34</v>
      </c>
      <c r="K415" t="s">
        <v>39</v>
      </c>
      <c r="L415" t="s">
        <v>19</v>
      </c>
      <c r="M415">
        <f t="shared" si="42"/>
        <v>5</v>
      </c>
      <c r="N415">
        <f t="shared" si="43"/>
        <v>7</v>
      </c>
      <c r="O415" t="str">
        <f t="shared" si="44"/>
        <v>Met</v>
      </c>
      <c r="P415" t="str">
        <f t="shared" si="45"/>
        <v>Nov</v>
      </c>
      <c r="Q415">
        <f t="shared" si="46"/>
        <v>2025</v>
      </c>
      <c r="R415" t="str">
        <f t="shared" si="47"/>
        <v>Closed</v>
      </c>
      <c r="S415" t="str">
        <f t="shared" si="48"/>
        <v>Nov</v>
      </c>
    </row>
    <row r="416" spans="1:19" x14ac:dyDescent="0.25">
      <c r="A416" t="s">
        <v>496</v>
      </c>
      <c r="B416" s="1">
        <v>45929</v>
      </c>
      <c r="C416" s="1">
        <v>45930</v>
      </c>
      <c r="D416" t="s">
        <v>28</v>
      </c>
      <c r="E416" t="s">
        <v>29</v>
      </c>
      <c r="F416" t="s">
        <v>592</v>
      </c>
      <c r="G416" t="s">
        <v>23</v>
      </c>
      <c r="H416" t="s">
        <v>591</v>
      </c>
      <c r="I416" t="s">
        <v>47</v>
      </c>
      <c r="J416" t="s">
        <v>26</v>
      </c>
      <c r="K416" t="s">
        <v>19</v>
      </c>
      <c r="L416" t="s">
        <v>20</v>
      </c>
      <c r="M416">
        <f t="shared" si="42"/>
        <v>1</v>
      </c>
      <c r="N416">
        <f t="shared" si="43"/>
        <v>1</v>
      </c>
      <c r="O416" t="str">
        <f t="shared" si="44"/>
        <v>Met</v>
      </c>
      <c r="P416" t="str">
        <f t="shared" si="45"/>
        <v>Sep</v>
      </c>
      <c r="Q416">
        <f t="shared" si="46"/>
        <v>2025</v>
      </c>
      <c r="R416" t="str">
        <f t="shared" si="47"/>
        <v>Closed</v>
      </c>
      <c r="S416" t="str">
        <f t="shared" si="48"/>
        <v>Sep</v>
      </c>
    </row>
    <row r="417" spans="1:19" x14ac:dyDescent="0.25">
      <c r="A417" t="s">
        <v>497</v>
      </c>
      <c r="B417" s="1">
        <v>45906</v>
      </c>
      <c r="C417" s="1">
        <v>45914</v>
      </c>
      <c r="D417" t="s">
        <v>13</v>
      </c>
      <c r="E417" t="s">
        <v>29</v>
      </c>
      <c r="F417" t="s">
        <v>15</v>
      </c>
      <c r="G417" t="s">
        <v>16</v>
      </c>
      <c r="H417" t="s">
        <v>128</v>
      </c>
      <c r="I417" t="s">
        <v>47</v>
      </c>
      <c r="J417" t="s">
        <v>60</v>
      </c>
      <c r="K417" t="s">
        <v>20</v>
      </c>
      <c r="L417" t="s">
        <v>19</v>
      </c>
      <c r="M417">
        <f t="shared" si="42"/>
        <v>8</v>
      </c>
      <c r="N417">
        <f t="shared" si="43"/>
        <v>7</v>
      </c>
      <c r="O417" t="str">
        <f t="shared" si="44"/>
        <v>Breached</v>
      </c>
      <c r="P417" t="str">
        <f t="shared" si="45"/>
        <v>Sep</v>
      </c>
      <c r="Q417">
        <f t="shared" si="46"/>
        <v>2025</v>
      </c>
      <c r="R417" t="str">
        <f t="shared" si="47"/>
        <v>Closed</v>
      </c>
      <c r="S417" t="str">
        <f t="shared" si="48"/>
        <v>Sep</v>
      </c>
    </row>
    <row r="418" spans="1:19" x14ac:dyDescent="0.25">
      <c r="A418" t="s">
        <v>498</v>
      </c>
      <c r="B418" s="1">
        <v>45897</v>
      </c>
      <c r="D418" t="s">
        <v>45</v>
      </c>
      <c r="E418" t="s">
        <v>58</v>
      </c>
      <c r="F418" t="s">
        <v>30</v>
      </c>
      <c r="G418" t="s">
        <v>55</v>
      </c>
      <c r="H418" t="s">
        <v>95</v>
      </c>
      <c r="I418" t="s">
        <v>38</v>
      </c>
      <c r="J418" t="s">
        <v>26</v>
      </c>
      <c r="K418" t="s">
        <v>39</v>
      </c>
      <c r="L418" t="s">
        <v>19</v>
      </c>
      <c r="M418" t="str">
        <f t="shared" si="42"/>
        <v/>
      </c>
      <c r="N418">
        <f t="shared" si="43"/>
        <v>5</v>
      </c>
      <c r="O418" t="str">
        <f t="shared" si="44"/>
        <v>Open</v>
      </c>
      <c r="P418" t="str">
        <f t="shared" si="45"/>
        <v>Aug</v>
      </c>
      <c r="Q418">
        <f t="shared" si="46"/>
        <v>2025</v>
      </c>
      <c r="R418" t="str">
        <f t="shared" si="47"/>
        <v>Open</v>
      </c>
      <c r="S418" t="str">
        <f t="shared" si="48"/>
        <v>Open</v>
      </c>
    </row>
    <row r="419" spans="1:19" x14ac:dyDescent="0.25">
      <c r="A419" t="s">
        <v>499</v>
      </c>
      <c r="B419" s="1">
        <v>45901</v>
      </c>
      <c r="C419" s="1">
        <v>45904</v>
      </c>
      <c r="D419" t="s">
        <v>13</v>
      </c>
      <c r="E419" t="s">
        <v>14</v>
      </c>
      <c r="F419" t="s">
        <v>22</v>
      </c>
      <c r="G419" t="s">
        <v>23</v>
      </c>
      <c r="H419" t="s">
        <v>43</v>
      </c>
      <c r="I419" t="s">
        <v>47</v>
      </c>
      <c r="J419" t="s">
        <v>34</v>
      </c>
      <c r="K419" t="s">
        <v>39</v>
      </c>
      <c r="L419" t="s">
        <v>20</v>
      </c>
      <c r="M419">
        <f t="shared" si="42"/>
        <v>3</v>
      </c>
      <c r="N419">
        <f t="shared" si="43"/>
        <v>7</v>
      </c>
      <c r="O419" t="str">
        <f t="shared" si="44"/>
        <v>Met</v>
      </c>
      <c r="P419" t="str">
        <f t="shared" si="45"/>
        <v>Sep</v>
      </c>
      <c r="Q419">
        <f t="shared" si="46"/>
        <v>2025</v>
      </c>
      <c r="R419" t="str">
        <f t="shared" si="47"/>
        <v>Closed</v>
      </c>
      <c r="S419" t="str">
        <f t="shared" si="48"/>
        <v>Sep</v>
      </c>
    </row>
    <row r="420" spans="1:19" x14ac:dyDescent="0.25">
      <c r="A420" t="s">
        <v>500</v>
      </c>
      <c r="B420" s="1">
        <v>45702</v>
      </c>
      <c r="D420" t="s">
        <v>49</v>
      </c>
      <c r="E420" t="s">
        <v>76</v>
      </c>
      <c r="F420" t="s">
        <v>30</v>
      </c>
      <c r="G420" t="s">
        <v>42</v>
      </c>
      <c r="H420" t="s">
        <v>95</v>
      </c>
      <c r="I420" t="s">
        <v>47</v>
      </c>
      <c r="J420" t="s">
        <v>18</v>
      </c>
      <c r="K420" t="s">
        <v>20</v>
      </c>
      <c r="L420" t="s">
        <v>20</v>
      </c>
      <c r="M420" t="str">
        <f t="shared" si="42"/>
        <v/>
      </c>
      <c r="N420">
        <f t="shared" si="43"/>
        <v>3</v>
      </c>
      <c r="O420" t="str">
        <f t="shared" si="44"/>
        <v>Open</v>
      </c>
      <c r="P420" t="str">
        <f t="shared" si="45"/>
        <v>Feb</v>
      </c>
      <c r="Q420">
        <f t="shared" si="46"/>
        <v>2025</v>
      </c>
      <c r="R420" t="str">
        <f t="shared" si="47"/>
        <v>Open</v>
      </c>
      <c r="S420" t="str">
        <f t="shared" si="48"/>
        <v>Open</v>
      </c>
    </row>
    <row r="421" spans="1:19" x14ac:dyDescent="0.25">
      <c r="A421" t="s">
        <v>501</v>
      </c>
      <c r="B421" s="1">
        <v>46005</v>
      </c>
      <c r="C421" s="1">
        <v>46006</v>
      </c>
      <c r="D421" t="s">
        <v>28</v>
      </c>
      <c r="E421" t="s">
        <v>14</v>
      </c>
      <c r="F421" t="s">
        <v>41</v>
      </c>
      <c r="G421" t="s">
        <v>42</v>
      </c>
      <c r="H421" t="s">
        <v>106</v>
      </c>
      <c r="I421" t="s">
        <v>33</v>
      </c>
      <c r="J421" t="s">
        <v>26</v>
      </c>
      <c r="K421" t="s">
        <v>20</v>
      </c>
      <c r="L421" t="s">
        <v>19</v>
      </c>
      <c r="M421">
        <f t="shared" si="42"/>
        <v>1</v>
      </c>
      <c r="N421">
        <f t="shared" si="43"/>
        <v>1</v>
      </c>
      <c r="O421" t="str">
        <f t="shared" si="44"/>
        <v>Met</v>
      </c>
      <c r="P421" t="str">
        <f t="shared" si="45"/>
        <v>Dec</v>
      </c>
      <c r="Q421">
        <f t="shared" si="46"/>
        <v>2025</v>
      </c>
      <c r="R421" t="str">
        <f t="shared" si="47"/>
        <v>Closed</v>
      </c>
      <c r="S421" t="str">
        <f t="shared" si="48"/>
        <v>Dec</v>
      </c>
    </row>
    <row r="422" spans="1:19" x14ac:dyDescent="0.25">
      <c r="A422" t="s">
        <v>502</v>
      </c>
      <c r="B422" s="1">
        <v>45721</v>
      </c>
      <c r="C422" s="1">
        <v>45721</v>
      </c>
      <c r="D422" t="s">
        <v>49</v>
      </c>
      <c r="E422" t="s">
        <v>29</v>
      </c>
      <c r="F422" t="s">
        <v>36</v>
      </c>
      <c r="G422" t="s">
        <v>31</v>
      </c>
      <c r="H422" t="s">
        <v>73</v>
      </c>
      <c r="I422" t="s">
        <v>47</v>
      </c>
      <c r="J422" t="s">
        <v>18</v>
      </c>
      <c r="K422" t="s">
        <v>19</v>
      </c>
      <c r="L422" t="s">
        <v>20</v>
      </c>
      <c r="M422">
        <f t="shared" si="42"/>
        <v>0</v>
      </c>
      <c r="N422">
        <f t="shared" si="43"/>
        <v>3</v>
      </c>
      <c r="O422" t="str">
        <f t="shared" si="44"/>
        <v>Met</v>
      </c>
      <c r="P422" t="str">
        <f t="shared" si="45"/>
        <v>Mar</v>
      </c>
      <c r="Q422">
        <f t="shared" si="46"/>
        <v>2025</v>
      </c>
      <c r="R422" t="str">
        <f t="shared" si="47"/>
        <v>Closed</v>
      </c>
      <c r="S422" t="str">
        <f t="shared" si="48"/>
        <v>Mar</v>
      </c>
    </row>
    <row r="423" spans="1:19" x14ac:dyDescent="0.25">
      <c r="A423" t="s">
        <v>503</v>
      </c>
      <c r="B423" s="1">
        <v>45995</v>
      </c>
      <c r="C423" s="1">
        <v>45997</v>
      </c>
      <c r="D423" t="s">
        <v>49</v>
      </c>
      <c r="E423" t="s">
        <v>14</v>
      </c>
      <c r="F423" t="s">
        <v>22</v>
      </c>
      <c r="G423" t="s">
        <v>31</v>
      </c>
      <c r="H423" t="s">
        <v>51</v>
      </c>
      <c r="I423" t="s">
        <v>69</v>
      </c>
      <c r="J423" t="s">
        <v>60</v>
      </c>
      <c r="K423" t="s">
        <v>19</v>
      </c>
      <c r="L423" t="s">
        <v>20</v>
      </c>
      <c r="M423">
        <f t="shared" si="42"/>
        <v>2</v>
      </c>
      <c r="N423">
        <f t="shared" si="43"/>
        <v>3</v>
      </c>
      <c r="O423" t="str">
        <f t="shared" si="44"/>
        <v>Met</v>
      </c>
      <c r="P423" t="str">
        <f t="shared" si="45"/>
        <v>Dec</v>
      </c>
      <c r="Q423">
        <f t="shared" si="46"/>
        <v>2025</v>
      </c>
      <c r="R423" t="str">
        <f t="shared" si="47"/>
        <v>Closed</v>
      </c>
      <c r="S423" t="str">
        <f t="shared" si="48"/>
        <v>Dec</v>
      </c>
    </row>
    <row r="424" spans="1:19" x14ac:dyDescent="0.25">
      <c r="A424" t="s">
        <v>504</v>
      </c>
      <c r="B424" s="1">
        <v>45741</v>
      </c>
      <c r="C424" s="1">
        <v>45744</v>
      </c>
      <c r="D424" t="s">
        <v>49</v>
      </c>
      <c r="E424" t="s">
        <v>29</v>
      </c>
      <c r="F424" t="s">
        <v>30</v>
      </c>
      <c r="G424" t="s">
        <v>31</v>
      </c>
      <c r="H424" t="s">
        <v>77</v>
      </c>
      <c r="I424" t="s">
        <v>25</v>
      </c>
      <c r="J424" t="s">
        <v>60</v>
      </c>
      <c r="K424" t="s">
        <v>20</v>
      </c>
      <c r="L424" t="s">
        <v>20</v>
      </c>
      <c r="M424">
        <f t="shared" si="42"/>
        <v>3</v>
      </c>
      <c r="N424">
        <f t="shared" si="43"/>
        <v>3</v>
      </c>
      <c r="O424" t="str">
        <f t="shared" si="44"/>
        <v>Met</v>
      </c>
      <c r="P424" t="str">
        <f t="shared" si="45"/>
        <v>Mar</v>
      </c>
      <c r="Q424">
        <f t="shared" si="46"/>
        <v>2025</v>
      </c>
      <c r="R424" t="str">
        <f t="shared" si="47"/>
        <v>Closed</v>
      </c>
      <c r="S424" t="str">
        <f t="shared" si="48"/>
        <v>Mar</v>
      </c>
    </row>
    <row r="425" spans="1:19" x14ac:dyDescent="0.25">
      <c r="A425" t="s">
        <v>506</v>
      </c>
      <c r="B425" s="1">
        <v>45684</v>
      </c>
      <c r="D425" t="s">
        <v>49</v>
      </c>
      <c r="E425" t="s">
        <v>76</v>
      </c>
      <c r="F425" t="s">
        <v>592</v>
      </c>
      <c r="G425" t="s">
        <v>31</v>
      </c>
      <c r="H425" t="s">
        <v>106</v>
      </c>
      <c r="I425" t="s">
        <v>52</v>
      </c>
      <c r="J425" t="s">
        <v>18</v>
      </c>
      <c r="K425" t="s">
        <v>19</v>
      </c>
      <c r="L425" t="s">
        <v>19</v>
      </c>
      <c r="M425" t="str">
        <f t="shared" si="42"/>
        <v/>
      </c>
      <c r="N425">
        <f t="shared" si="43"/>
        <v>3</v>
      </c>
      <c r="O425" t="str">
        <f t="shared" si="44"/>
        <v>Open</v>
      </c>
      <c r="P425" t="str">
        <f t="shared" si="45"/>
        <v>Jan</v>
      </c>
      <c r="Q425">
        <f t="shared" si="46"/>
        <v>2025</v>
      </c>
      <c r="R425" t="str">
        <f t="shared" si="47"/>
        <v>Open</v>
      </c>
      <c r="S425" t="str">
        <f t="shared" si="48"/>
        <v>Open</v>
      </c>
    </row>
    <row r="426" spans="1:19" x14ac:dyDescent="0.25">
      <c r="A426" t="s">
        <v>507</v>
      </c>
      <c r="B426" s="1">
        <v>45895</v>
      </c>
      <c r="C426" s="1">
        <v>45896</v>
      </c>
      <c r="D426" t="s">
        <v>28</v>
      </c>
      <c r="E426" t="s">
        <v>14</v>
      </c>
      <c r="F426" t="s">
        <v>15</v>
      </c>
      <c r="G426" t="s">
        <v>16</v>
      </c>
      <c r="H426" t="s">
        <v>134</v>
      </c>
      <c r="I426" t="s">
        <v>47</v>
      </c>
      <c r="J426" t="s">
        <v>34</v>
      </c>
      <c r="K426" t="s">
        <v>20</v>
      </c>
      <c r="L426" t="s">
        <v>20</v>
      </c>
      <c r="M426">
        <f t="shared" si="42"/>
        <v>1</v>
      </c>
      <c r="N426">
        <f t="shared" si="43"/>
        <v>1</v>
      </c>
      <c r="O426" t="str">
        <f t="shared" si="44"/>
        <v>Met</v>
      </c>
      <c r="P426" t="str">
        <f t="shared" si="45"/>
        <v>Aug</v>
      </c>
      <c r="Q426">
        <f t="shared" si="46"/>
        <v>2025</v>
      </c>
      <c r="R426" t="str">
        <f t="shared" si="47"/>
        <v>Closed</v>
      </c>
      <c r="S426" t="str">
        <f t="shared" si="48"/>
        <v>Aug</v>
      </c>
    </row>
    <row r="427" spans="1:19" x14ac:dyDescent="0.25">
      <c r="A427" t="s">
        <v>508</v>
      </c>
      <c r="B427" s="1">
        <v>46017</v>
      </c>
      <c r="C427" s="1">
        <v>46017</v>
      </c>
      <c r="D427" t="s">
        <v>28</v>
      </c>
      <c r="E427" t="s">
        <v>29</v>
      </c>
      <c r="F427" t="s">
        <v>66</v>
      </c>
      <c r="G427" t="s">
        <v>16</v>
      </c>
      <c r="H427" t="s">
        <v>128</v>
      </c>
      <c r="I427" t="s">
        <v>47</v>
      </c>
      <c r="J427" t="s">
        <v>34</v>
      </c>
      <c r="K427" t="s">
        <v>19</v>
      </c>
      <c r="L427" t="s">
        <v>39</v>
      </c>
      <c r="M427">
        <f t="shared" si="42"/>
        <v>0</v>
      </c>
      <c r="N427">
        <f t="shared" si="43"/>
        <v>1</v>
      </c>
      <c r="O427" t="str">
        <f t="shared" si="44"/>
        <v>Met</v>
      </c>
      <c r="P427" t="str">
        <f t="shared" si="45"/>
        <v>Dec</v>
      </c>
      <c r="Q427">
        <f t="shared" si="46"/>
        <v>2025</v>
      </c>
      <c r="R427" t="str">
        <f t="shared" si="47"/>
        <v>Closed</v>
      </c>
      <c r="S427" t="str">
        <f t="shared" si="48"/>
        <v>Dec</v>
      </c>
    </row>
    <row r="428" spans="1:19" x14ac:dyDescent="0.25">
      <c r="A428" t="s">
        <v>509</v>
      </c>
      <c r="B428" s="1">
        <v>45964</v>
      </c>
      <c r="C428" s="1">
        <v>45964</v>
      </c>
      <c r="D428" t="s">
        <v>49</v>
      </c>
      <c r="E428" t="s">
        <v>14</v>
      </c>
      <c r="F428" t="s">
        <v>30</v>
      </c>
      <c r="G428" t="s">
        <v>55</v>
      </c>
      <c r="H428" t="s">
        <v>128</v>
      </c>
      <c r="I428" t="s">
        <v>38</v>
      </c>
      <c r="J428" t="s">
        <v>60</v>
      </c>
      <c r="K428" t="s">
        <v>39</v>
      </c>
      <c r="L428" t="s">
        <v>20</v>
      </c>
      <c r="M428">
        <f t="shared" si="42"/>
        <v>0</v>
      </c>
      <c r="N428">
        <f t="shared" si="43"/>
        <v>3</v>
      </c>
      <c r="O428" t="str">
        <f t="shared" si="44"/>
        <v>Met</v>
      </c>
      <c r="P428" t="str">
        <f t="shared" si="45"/>
        <v>Nov</v>
      </c>
      <c r="Q428">
        <f t="shared" si="46"/>
        <v>2025</v>
      </c>
      <c r="R428" t="str">
        <f t="shared" si="47"/>
        <v>Closed</v>
      </c>
      <c r="S428" t="str">
        <f t="shared" si="48"/>
        <v>Nov</v>
      </c>
    </row>
    <row r="429" spans="1:19" x14ac:dyDescent="0.25">
      <c r="A429" t="s">
        <v>510</v>
      </c>
      <c r="B429" s="1">
        <v>45923</v>
      </c>
      <c r="C429" s="1">
        <v>45925</v>
      </c>
      <c r="D429" t="s">
        <v>49</v>
      </c>
      <c r="E429" t="s">
        <v>14</v>
      </c>
      <c r="F429" t="s">
        <v>22</v>
      </c>
      <c r="G429" t="s">
        <v>55</v>
      </c>
      <c r="H429" t="s">
        <v>32</v>
      </c>
      <c r="I429" t="s">
        <v>17</v>
      </c>
      <c r="J429" t="s">
        <v>34</v>
      </c>
      <c r="K429" t="s">
        <v>19</v>
      </c>
      <c r="L429" t="s">
        <v>20</v>
      </c>
      <c r="M429">
        <f t="shared" si="42"/>
        <v>2</v>
      </c>
      <c r="N429">
        <f t="shared" si="43"/>
        <v>3</v>
      </c>
      <c r="O429" t="str">
        <f t="shared" si="44"/>
        <v>Met</v>
      </c>
      <c r="P429" t="str">
        <f t="shared" si="45"/>
        <v>Sep</v>
      </c>
      <c r="Q429">
        <f t="shared" si="46"/>
        <v>2025</v>
      </c>
      <c r="R429" t="str">
        <f t="shared" si="47"/>
        <v>Closed</v>
      </c>
      <c r="S429" t="str">
        <f t="shared" si="48"/>
        <v>Sep</v>
      </c>
    </row>
    <row r="430" spans="1:19" x14ac:dyDescent="0.25">
      <c r="A430" t="s">
        <v>511</v>
      </c>
      <c r="B430" s="1">
        <v>45976</v>
      </c>
      <c r="C430" s="1">
        <v>45978</v>
      </c>
      <c r="D430" t="s">
        <v>49</v>
      </c>
      <c r="E430" t="s">
        <v>29</v>
      </c>
      <c r="F430" t="s">
        <v>50</v>
      </c>
      <c r="G430" t="s">
        <v>23</v>
      </c>
      <c r="H430" t="s">
        <v>32</v>
      </c>
      <c r="I430" t="s">
        <v>38</v>
      </c>
      <c r="J430" t="s">
        <v>34</v>
      </c>
      <c r="K430" t="s">
        <v>20</v>
      </c>
      <c r="L430" t="s">
        <v>20</v>
      </c>
      <c r="M430">
        <f t="shared" si="42"/>
        <v>2</v>
      </c>
      <c r="N430">
        <f t="shared" si="43"/>
        <v>3</v>
      </c>
      <c r="O430" t="str">
        <f t="shared" si="44"/>
        <v>Met</v>
      </c>
      <c r="P430" t="str">
        <f t="shared" si="45"/>
        <v>Nov</v>
      </c>
      <c r="Q430">
        <f t="shared" si="46"/>
        <v>2025</v>
      </c>
      <c r="R430" t="str">
        <f t="shared" si="47"/>
        <v>Closed</v>
      </c>
      <c r="S430" t="str">
        <f t="shared" si="48"/>
        <v>Nov</v>
      </c>
    </row>
    <row r="431" spans="1:19" x14ac:dyDescent="0.25">
      <c r="A431" t="s">
        <v>512</v>
      </c>
      <c r="B431" s="1">
        <v>45967</v>
      </c>
      <c r="D431" t="s">
        <v>28</v>
      </c>
      <c r="E431" t="s">
        <v>58</v>
      </c>
      <c r="F431" t="s">
        <v>592</v>
      </c>
      <c r="G431" t="s">
        <v>23</v>
      </c>
      <c r="H431" t="s">
        <v>59</v>
      </c>
      <c r="I431" t="s">
        <v>38</v>
      </c>
      <c r="J431" t="s">
        <v>34</v>
      </c>
      <c r="K431" t="s">
        <v>20</v>
      </c>
      <c r="L431" t="s">
        <v>39</v>
      </c>
      <c r="M431" t="str">
        <f t="shared" si="42"/>
        <v/>
      </c>
      <c r="N431">
        <f t="shared" si="43"/>
        <v>1</v>
      </c>
      <c r="O431" t="str">
        <f t="shared" si="44"/>
        <v>Open</v>
      </c>
      <c r="P431" t="str">
        <f t="shared" si="45"/>
        <v>Nov</v>
      </c>
      <c r="Q431">
        <f t="shared" si="46"/>
        <v>2025</v>
      </c>
      <c r="R431" t="str">
        <f t="shared" si="47"/>
        <v>Open</v>
      </c>
      <c r="S431" t="str">
        <f t="shared" si="48"/>
        <v>Open</v>
      </c>
    </row>
    <row r="432" spans="1:19" x14ac:dyDescent="0.25">
      <c r="A432" t="s">
        <v>513</v>
      </c>
      <c r="B432" s="1">
        <v>45721</v>
      </c>
      <c r="D432" t="s">
        <v>13</v>
      </c>
      <c r="E432" t="s">
        <v>58</v>
      </c>
      <c r="F432" t="s">
        <v>41</v>
      </c>
      <c r="G432" t="s">
        <v>23</v>
      </c>
      <c r="H432" t="s">
        <v>73</v>
      </c>
      <c r="I432" t="s">
        <v>17</v>
      </c>
      <c r="J432" t="s">
        <v>26</v>
      </c>
      <c r="K432" t="s">
        <v>19</v>
      </c>
      <c r="L432" t="s">
        <v>19</v>
      </c>
      <c r="M432" t="str">
        <f t="shared" si="42"/>
        <v/>
      </c>
      <c r="N432">
        <f t="shared" si="43"/>
        <v>7</v>
      </c>
      <c r="O432" t="str">
        <f t="shared" si="44"/>
        <v>Open</v>
      </c>
      <c r="P432" t="str">
        <f t="shared" si="45"/>
        <v>Mar</v>
      </c>
      <c r="Q432">
        <f t="shared" si="46"/>
        <v>2025</v>
      </c>
      <c r="R432" t="str">
        <f t="shared" si="47"/>
        <v>Open</v>
      </c>
      <c r="S432" t="str">
        <f t="shared" si="48"/>
        <v>Open</v>
      </c>
    </row>
    <row r="433" spans="1:19" x14ac:dyDescent="0.25">
      <c r="A433" t="s">
        <v>514</v>
      </c>
      <c r="B433" s="1">
        <v>45930</v>
      </c>
      <c r="C433" s="1">
        <v>45940</v>
      </c>
      <c r="D433" t="s">
        <v>13</v>
      </c>
      <c r="E433" t="s">
        <v>29</v>
      </c>
      <c r="F433" t="s">
        <v>66</v>
      </c>
      <c r="G433" t="s">
        <v>23</v>
      </c>
      <c r="H433" t="s">
        <v>59</v>
      </c>
      <c r="I433" t="s">
        <v>52</v>
      </c>
      <c r="J433" t="s">
        <v>18</v>
      </c>
      <c r="K433" t="s">
        <v>39</v>
      </c>
      <c r="L433" t="s">
        <v>20</v>
      </c>
      <c r="M433">
        <f t="shared" si="42"/>
        <v>10</v>
      </c>
      <c r="N433">
        <f t="shared" si="43"/>
        <v>7</v>
      </c>
      <c r="O433" t="str">
        <f t="shared" si="44"/>
        <v>Breached</v>
      </c>
      <c r="P433" t="str">
        <f t="shared" si="45"/>
        <v>Sep</v>
      </c>
      <c r="Q433">
        <f t="shared" si="46"/>
        <v>2025</v>
      </c>
      <c r="R433" t="str">
        <f t="shared" si="47"/>
        <v>Closed</v>
      </c>
      <c r="S433" t="str">
        <f t="shared" si="48"/>
        <v>Oct</v>
      </c>
    </row>
    <row r="434" spans="1:19" x14ac:dyDescent="0.25">
      <c r="A434" t="s">
        <v>515</v>
      </c>
      <c r="B434" s="1">
        <v>45897</v>
      </c>
      <c r="C434" s="1">
        <v>45899</v>
      </c>
      <c r="D434" t="s">
        <v>49</v>
      </c>
      <c r="E434" t="s">
        <v>29</v>
      </c>
      <c r="F434" t="s">
        <v>30</v>
      </c>
      <c r="G434" t="s">
        <v>23</v>
      </c>
      <c r="H434" t="s">
        <v>56</v>
      </c>
      <c r="I434" t="s">
        <v>25</v>
      </c>
      <c r="J434" t="s">
        <v>34</v>
      </c>
      <c r="K434" t="s">
        <v>19</v>
      </c>
      <c r="L434" t="s">
        <v>39</v>
      </c>
      <c r="M434">
        <f t="shared" si="42"/>
        <v>2</v>
      </c>
      <c r="N434">
        <f t="shared" si="43"/>
        <v>3</v>
      </c>
      <c r="O434" t="str">
        <f t="shared" si="44"/>
        <v>Met</v>
      </c>
      <c r="P434" t="str">
        <f t="shared" si="45"/>
        <v>Aug</v>
      </c>
      <c r="Q434">
        <f t="shared" si="46"/>
        <v>2025</v>
      </c>
      <c r="R434" t="str">
        <f t="shared" si="47"/>
        <v>Closed</v>
      </c>
      <c r="S434" t="str">
        <f t="shared" si="48"/>
        <v>Aug</v>
      </c>
    </row>
    <row r="435" spans="1:19" x14ac:dyDescent="0.25">
      <c r="A435" t="s">
        <v>516</v>
      </c>
      <c r="B435" s="1">
        <v>45804</v>
      </c>
      <c r="C435" s="1">
        <v>45805</v>
      </c>
      <c r="D435" t="s">
        <v>28</v>
      </c>
      <c r="E435" t="s">
        <v>29</v>
      </c>
      <c r="F435" t="s">
        <v>66</v>
      </c>
      <c r="G435" t="s">
        <v>55</v>
      </c>
      <c r="H435" t="s">
        <v>136</v>
      </c>
      <c r="I435" t="s">
        <v>52</v>
      </c>
      <c r="J435" t="s">
        <v>18</v>
      </c>
      <c r="K435" t="s">
        <v>19</v>
      </c>
      <c r="L435" t="s">
        <v>19</v>
      </c>
      <c r="M435">
        <f t="shared" si="42"/>
        <v>1</v>
      </c>
      <c r="N435">
        <f t="shared" si="43"/>
        <v>1</v>
      </c>
      <c r="O435" t="str">
        <f t="shared" si="44"/>
        <v>Met</v>
      </c>
      <c r="P435" t="str">
        <f t="shared" si="45"/>
        <v>May</v>
      </c>
      <c r="Q435">
        <f t="shared" si="46"/>
        <v>2025</v>
      </c>
      <c r="R435" t="str">
        <f t="shared" si="47"/>
        <v>Closed</v>
      </c>
      <c r="S435" t="str">
        <f t="shared" si="48"/>
        <v>May</v>
      </c>
    </row>
    <row r="436" spans="1:19" x14ac:dyDescent="0.25">
      <c r="A436" t="s">
        <v>517</v>
      </c>
      <c r="B436" s="1">
        <v>45783</v>
      </c>
      <c r="C436" s="1">
        <v>45784</v>
      </c>
      <c r="D436" t="s">
        <v>28</v>
      </c>
      <c r="E436" t="s">
        <v>14</v>
      </c>
      <c r="F436" t="s">
        <v>30</v>
      </c>
      <c r="G436" t="s">
        <v>55</v>
      </c>
      <c r="H436" t="s">
        <v>43</v>
      </c>
      <c r="I436" t="s">
        <v>69</v>
      </c>
      <c r="J436" t="s">
        <v>34</v>
      </c>
      <c r="K436" t="s">
        <v>19</v>
      </c>
      <c r="L436" t="s">
        <v>39</v>
      </c>
      <c r="M436">
        <f t="shared" si="42"/>
        <v>1</v>
      </c>
      <c r="N436">
        <f t="shared" si="43"/>
        <v>1</v>
      </c>
      <c r="O436" t="str">
        <f t="shared" si="44"/>
        <v>Met</v>
      </c>
      <c r="P436" t="str">
        <f t="shared" si="45"/>
        <v>May</v>
      </c>
      <c r="Q436">
        <f t="shared" si="46"/>
        <v>2025</v>
      </c>
      <c r="R436" t="str">
        <f t="shared" si="47"/>
        <v>Closed</v>
      </c>
      <c r="S436" t="str">
        <f t="shared" si="48"/>
        <v>May</v>
      </c>
    </row>
    <row r="437" spans="1:19" x14ac:dyDescent="0.25">
      <c r="A437" t="s">
        <v>518</v>
      </c>
      <c r="B437" s="1">
        <v>45905</v>
      </c>
      <c r="C437" s="1">
        <v>45905</v>
      </c>
      <c r="D437" t="s">
        <v>28</v>
      </c>
      <c r="E437" t="s">
        <v>29</v>
      </c>
      <c r="F437" t="s">
        <v>36</v>
      </c>
      <c r="G437" t="s">
        <v>55</v>
      </c>
      <c r="H437" t="s">
        <v>37</v>
      </c>
      <c r="I437" t="s">
        <v>25</v>
      </c>
      <c r="J437" t="s">
        <v>26</v>
      </c>
      <c r="K437" t="s">
        <v>19</v>
      </c>
      <c r="L437" t="s">
        <v>39</v>
      </c>
      <c r="M437">
        <f t="shared" si="42"/>
        <v>0</v>
      </c>
      <c r="N437">
        <f t="shared" si="43"/>
        <v>1</v>
      </c>
      <c r="O437" t="str">
        <f t="shared" si="44"/>
        <v>Met</v>
      </c>
      <c r="P437" t="str">
        <f t="shared" si="45"/>
        <v>Sep</v>
      </c>
      <c r="Q437">
        <f t="shared" si="46"/>
        <v>2025</v>
      </c>
      <c r="R437" t="str">
        <f t="shared" si="47"/>
        <v>Closed</v>
      </c>
      <c r="S437" t="str">
        <f t="shared" si="48"/>
        <v>Sep</v>
      </c>
    </row>
    <row r="438" spans="1:19" x14ac:dyDescent="0.25">
      <c r="A438" t="s">
        <v>519</v>
      </c>
      <c r="B438" s="1">
        <v>45662</v>
      </c>
      <c r="D438" t="s">
        <v>45</v>
      </c>
      <c r="E438" t="s">
        <v>76</v>
      </c>
      <c r="F438" t="s">
        <v>66</v>
      </c>
      <c r="G438" t="s">
        <v>23</v>
      </c>
      <c r="H438" t="s">
        <v>43</v>
      </c>
      <c r="I438" t="s">
        <v>38</v>
      </c>
      <c r="J438" t="s">
        <v>34</v>
      </c>
      <c r="K438" t="s">
        <v>19</v>
      </c>
      <c r="L438" t="s">
        <v>20</v>
      </c>
      <c r="M438" t="str">
        <f t="shared" si="42"/>
        <v/>
      </c>
      <c r="N438">
        <f t="shared" si="43"/>
        <v>5</v>
      </c>
      <c r="O438" t="str">
        <f t="shared" si="44"/>
        <v>Open</v>
      </c>
      <c r="P438" t="str">
        <f t="shared" si="45"/>
        <v>Jan</v>
      </c>
      <c r="Q438">
        <f t="shared" si="46"/>
        <v>2025</v>
      </c>
      <c r="R438" t="str">
        <f t="shared" si="47"/>
        <v>Open</v>
      </c>
      <c r="S438" t="str">
        <f t="shared" si="48"/>
        <v>Open</v>
      </c>
    </row>
    <row r="439" spans="1:19" x14ac:dyDescent="0.25">
      <c r="A439" t="s">
        <v>520</v>
      </c>
      <c r="B439" s="1">
        <v>45882</v>
      </c>
      <c r="C439" s="1">
        <v>45883</v>
      </c>
      <c r="D439" t="s">
        <v>13</v>
      </c>
      <c r="E439" t="s">
        <v>14</v>
      </c>
      <c r="F439" t="s">
        <v>30</v>
      </c>
      <c r="G439" t="s">
        <v>23</v>
      </c>
      <c r="H439" t="s">
        <v>79</v>
      </c>
      <c r="I439" t="s">
        <v>52</v>
      </c>
      <c r="J439" t="s">
        <v>26</v>
      </c>
      <c r="K439" t="s">
        <v>39</v>
      </c>
      <c r="L439" t="s">
        <v>20</v>
      </c>
      <c r="M439">
        <f t="shared" si="42"/>
        <v>1</v>
      </c>
      <c r="N439">
        <f t="shared" si="43"/>
        <v>7</v>
      </c>
      <c r="O439" t="str">
        <f t="shared" si="44"/>
        <v>Met</v>
      </c>
      <c r="P439" t="str">
        <f t="shared" si="45"/>
        <v>Aug</v>
      </c>
      <c r="Q439">
        <f t="shared" si="46"/>
        <v>2025</v>
      </c>
      <c r="R439" t="str">
        <f t="shared" si="47"/>
        <v>Closed</v>
      </c>
      <c r="S439" t="str">
        <f t="shared" si="48"/>
        <v>Aug</v>
      </c>
    </row>
    <row r="440" spans="1:19" x14ac:dyDescent="0.25">
      <c r="A440" t="s">
        <v>521</v>
      </c>
      <c r="B440" s="1">
        <v>45911</v>
      </c>
      <c r="C440" s="1">
        <v>45912</v>
      </c>
      <c r="D440" t="s">
        <v>45</v>
      </c>
      <c r="E440" t="s">
        <v>14</v>
      </c>
      <c r="F440" t="s">
        <v>592</v>
      </c>
      <c r="G440" t="s">
        <v>23</v>
      </c>
      <c r="H440" t="s">
        <v>59</v>
      </c>
      <c r="I440" t="s">
        <v>38</v>
      </c>
      <c r="J440" t="s">
        <v>60</v>
      </c>
      <c r="K440" t="s">
        <v>20</v>
      </c>
      <c r="L440" t="s">
        <v>20</v>
      </c>
      <c r="M440">
        <f t="shared" si="42"/>
        <v>1</v>
      </c>
      <c r="N440">
        <f t="shared" si="43"/>
        <v>5</v>
      </c>
      <c r="O440" t="str">
        <f t="shared" si="44"/>
        <v>Met</v>
      </c>
      <c r="P440" t="str">
        <f t="shared" si="45"/>
        <v>Sep</v>
      </c>
      <c r="Q440">
        <f t="shared" si="46"/>
        <v>2025</v>
      </c>
      <c r="R440" t="str">
        <f t="shared" si="47"/>
        <v>Closed</v>
      </c>
      <c r="S440" t="str">
        <f t="shared" si="48"/>
        <v>Sep</v>
      </c>
    </row>
    <row r="441" spans="1:19" x14ac:dyDescent="0.25">
      <c r="A441" t="s">
        <v>522</v>
      </c>
      <c r="B441" s="1">
        <v>45906</v>
      </c>
      <c r="D441" t="s">
        <v>28</v>
      </c>
      <c r="E441" t="s">
        <v>76</v>
      </c>
      <c r="F441" t="s">
        <v>66</v>
      </c>
      <c r="G441" t="s">
        <v>31</v>
      </c>
      <c r="H441" t="s">
        <v>77</v>
      </c>
      <c r="I441" t="s">
        <v>52</v>
      </c>
      <c r="J441" t="s">
        <v>34</v>
      </c>
      <c r="K441" t="s">
        <v>39</v>
      </c>
      <c r="L441" t="s">
        <v>19</v>
      </c>
      <c r="M441" t="str">
        <f t="shared" si="42"/>
        <v/>
      </c>
      <c r="N441">
        <f t="shared" si="43"/>
        <v>1</v>
      </c>
      <c r="O441" t="str">
        <f t="shared" si="44"/>
        <v>Open</v>
      </c>
      <c r="P441" t="str">
        <f t="shared" si="45"/>
        <v>Sep</v>
      </c>
      <c r="Q441">
        <f t="shared" si="46"/>
        <v>2025</v>
      </c>
      <c r="R441" t="str">
        <f t="shared" si="47"/>
        <v>Open</v>
      </c>
      <c r="S441" t="str">
        <f t="shared" si="48"/>
        <v>Open</v>
      </c>
    </row>
    <row r="442" spans="1:19" x14ac:dyDescent="0.25">
      <c r="A442" t="s">
        <v>523</v>
      </c>
      <c r="B442" s="1">
        <v>45734</v>
      </c>
      <c r="D442" t="s">
        <v>49</v>
      </c>
      <c r="E442" t="s">
        <v>58</v>
      </c>
      <c r="F442" t="s">
        <v>30</v>
      </c>
      <c r="G442" t="s">
        <v>55</v>
      </c>
      <c r="H442" t="s">
        <v>128</v>
      </c>
      <c r="I442" t="s">
        <v>17</v>
      </c>
      <c r="J442" t="s">
        <v>26</v>
      </c>
      <c r="K442" t="s">
        <v>20</v>
      </c>
      <c r="L442" t="s">
        <v>20</v>
      </c>
      <c r="M442" t="str">
        <f t="shared" si="42"/>
        <v/>
      </c>
      <c r="N442">
        <f t="shared" si="43"/>
        <v>3</v>
      </c>
      <c r="O442" t="str">
        <f t="shared" si="44"/>
        <v>Open</v>
      </c>
      <c r="P442" t="str">
        <f t="shared" si="45"/>
        <v>Mar</v>
      </c>
      <c r="Q442">
        <f t="shared" si="46"/>
        <v>2025</v>
      </c>
      <c r="R442" t="str">
        <f t="shared" si="47"/>
        <v>Open</v>
      </c>
      <c r="S442" t="str">
        <f t="shared" si="48"/>
        <v>Open</v>
      </c>
    </row>
    <row r="443" spans="1:19" x14ac:dyDescent="0.25">
      <c r="A443" t="s">
        <v>524</v>
      </c>
      <c r="B443" s="1">
        <v>45876</v>
      </c>
      <c r="C443" s="1">
        <v>45877</v>
      </c>
      <c r="D443" t="s">
        <v>28</v>
      </c>
      <c r="E443" t="s">
        <v>14</v>
      </c>
      <c r="F443" t="s">
        <v>30</v>
      </c>
      <c r="G443" t="s">
        <v>23</v>
      </c>
      <c r="H443" t="s">
        <v>151</v>
      </c>
      <c r="I443" t="s">
        <v>38</v>
      </c>
      <c r="J443" t="s">
        <v>34</v>
      </c>
      <c r="K443" t="s">
        <v>20</v>
      </c>
      <c r="L443" t="s">
        <v>20</v>
      </c>
      <c r="M443">
        <f t="shared" si="42"/>
        <v>1</v>
      </c>
      <c r="N443">
        <f t="shared" si="43"/>
        <v>1</v>
      </c>
      <c r="O443" t="str">
        <f t="shared" si="44"/>
        <v>Met</v>
      </c>
      <c r="P443" t="str">
        <f t="shared" si="45"/>
        <v>Aug</v>
      </c>
      <c r="Q443">
        <f t="shared" si="46"/>
        <v>2025</v>
      </c>
      <c r="R443" t="str">
        <f t="shared" si="47"/>
        <v>Closed</v>
      </c>
      <c r="S443" t="str">
        <f t="shared" si="48"/>
        <v>Aug</v>
      </c>
    </row>
    <row r="444" spans="1:19" x14ac:dyDescent="0.25">
      <c r="A444" t="s">
        <v>525</v>
      </c>
      <c r="B444" s="1">
        <v>45813</v>
      </c>
      <c r="D444" t="s">
        <v>49</v>
      </c>
      <c r="E444" t="s">
        <v>76</v>
      </c>
      <c r="F444" t="s">
        <v>66</v>
      </c>
      <c r="G444" t="s">
        <v>16</v>
      </c>
      <c r="H444" t="s">
        <v>59</v>
      </c>
      <c r="I444" t="s">
        <v>33</v>
      </c>
      <c r="J444" t="s">
        <v>18</v>
      </c>
      <c r="K444" t="s">
        <v>39</v>
      </c>
      <c r="L444" t="s">
        <v>39</v>
      </c>
      <c r="M444" t="str">
        <f t="shared" si="42"/>
        <v/>
      </c>
      <c r="N444">
        <f t="shared" si="43"/>
        <v>3</v>
      </c>
      <c r="O444" t="str">
        <f t="shared" si="44"/>
        <v>Open</v>
      </c>
      <c r="P444" t="str">
        <f t="shared" si="45"/>
        <v>Jun</v>
      </c>
      <c r="Q444">
        <f t="shared" si="46"/>
        <v>2025</v>
      </c>
      <c r="R444" t="str">
        <f t="shared" si="47"/>
        <v>Open</v>
      </c>
      <c r="S444" t="str">
        <f t="shared" si="48"/>
        <v>Open</v>
      </c>
    </row>
    <row r="445" spans="1:19" x14ac:dyDescent="0.25">
      <c r="A445" t="s">
        <v>526</v>
      </c>
      <c r="B445" s="1">
        <v>45966</v>
      </c>
      <c r="D445" t="s">
        <v>49</v>
      </c>
      <c r="E445" t="s">
        <v>58</v>
      </c>
      <c r="F445" t="s">
        <v>30</v>
      </c>
      <c r="G445" t="s">
        <v>16</v>
      </c>
      <c r="H445" t="s">
        <v>151</v>
      </c>
      <c r="I445" t="s">
        <v>33</v>
      </c>
      <c r="J445" t="s">
        <v>34</v>
      </c>
      <c r="K445" t="s">
        <v>39</v>
      </c>
      <c r="L445" t="s">
        <v>39</v>
      </c>
      <c r="M445" t="str">
        <f t="shared" si="42"/>
        <v/>
      </c>
      <c r="N445">
        <f t="shared" si="43"/>
        <v>3</v>
      </c>
      <c r="O445" t="str">
        <f t="shared" si="44"/>
        <v>Open</v>
      </c>
      <c r="P445" t="str">
        <f t="shared" si="45"/>
        <v>Nov</v>
      </c>
      <c r="Q445">
        <f t="shared" si="46"/>
        <v>2025</v>
      </c>
      <c r="R445" t="str">
        <f t="shared" si="47"/>
        <v>Open</v>
      </c>
      <c r="S445" t="str">
        <f t="shared" si="48"/>
        <v>Open</v>
      </c>
    </row>
    <row r="446" spans="1:19" x14ac:dyDescent="0.25">
      <c r="A446" t="s">
        <v>527</v>
      </c>
      <c r="B446" s="1">
        <v>45939</v>
      </c>
      <c r="C446" s="1">
        <v>45939</v>
      </c>
      <c r="D446" t="s">
        <v>28</v>
      </c>
      <c r="E446" t="s">
        <v>14</v>
      </c>
      <c r="F446" t="s">
        <v>15</v>
      </c>
      <c r="G446" t="s">
        <v>31</v>
      </c>
      <c r="H446" t="s">
        <v>110</v>
      </c>
      <c r="I446" t="s">
        <v>47</v>
      </c>
      <c r="J446" t="s">
        <v>34</v>
      </c>
      <c r="K446" t="s">
        <v>19</v>
      </c>
      <c r="L446" t="s">
        <v>20</v>
      </c>
      <c r="M446">
        <f t="shared" si="42"/>
        <v>0</v>
      </c>
      <c r="N446">
        <f t="shared" si="43"/>
        <v>1</v>
      </c>
      <c r="O446" t="str">
        <f t="shared" si="44"/>
        <v>Met</v>
      </c>
      <c r="P446" t="str">
        <f t="shared" si="45"/>
        <v>Oct</v>
      </c>
      <c r="Q446">
        <f t="shared" si="46"/>
        <v>2025</v>
      </c>
      <c r="R446" t="str">
        <f t="shared" si="47"/>
        <v>Closed</v>
      </c>
      <c r="S446" t="str">
        <f t="shared" si="48"/>
        <v>Oct</v>
      </c>
    </row>
    <row r="447" spans="1:19" x14ac:dyDescent="0.25">
      <c r="A447" t="s">
        <v>528</v>
      </c>
      <c r="B447" s="1">
        <v>45930</v>
      </c>
      <c r="C447" s="1">
        <v>45935</v>
      </c>
      <c r="D447" t="s">
        <v>45</v>
      </c>
      <c r="E447" t="s">
        <v>14</v>
      </c>
      <c r="F447" t="s">
        <v>592</v>
      </c>
      <c r="G447" t="s">
        <v>16</v>
      </c>
      <c r="H447" t="s">
        <v>128</v>
      </c>
      <c r="I447" t="s">
        <v>69</v>
      </c>
      <c r="J447" t="s">
        <v>34</v>
      </c>
      <c r="K447" t="s">
        <v>20</v>
      </c>
      <c r="L447" t="s">
        <v>19</v>
      </c>
      <c r="M447">
        <f t="shared" si="42"/>
        <v>5</v>
      </c>
      <c r="N447">
        <f t="shared" si="43"/>
        <v>5</v>
      </c>
      <c r="O447" t="str">
        <f t="shared" si="44"/>
        <v>Met</v>
      </c>
      <c r="P447" t="str">
        <f t="shared" si="45"/>
        <v>Sep</v>
      </c>
      <c r="Q447">
        <f t="shared" si="46"/>
        <v>2025</v>
      </c>
      <c r="R447" t="str">
        <f t="shared" si="47"/>
        <v>Closed</v>
      </c>
      <c r="S447" t="str">
        <f t="shared" si="48"/>
        <v>Oct</v>
      </c>
    </row>
    <row r="448" spans="1:19" x14ac:dyDescent="0.25">
      <c r="A448" t="s">
        <v>529</v>
      </c>
      <c r="B448" s="1">
        <v>45718</v>
      </c>
      <c r="D448" t="s">
        <v>49</v>
      </c>
      <c r="E448" t="s">
        <v>58</v>
      </c>
      <c r="F448" t="s">
        <v>36</v>
      </c>
      <c r="G448" t="s">
        <v>55</v>
      </c>
      <c r="H448" t="s">
        <v>59</v>
      </c>
      <c r="I448" t="s">
        <v>33</v>
      </c>
      <c r="J448" t="s">
        <v>60</v>
      </c>
      <c r="K448" t="s">
        <v>39</v>
      </c>
      <c r="L448" t="s">
        <v>19</v>
      </c>
      <c r="M448" t="str">
        <f t="shared" si="42"/>
        <v/>
      </c>
      <c r="N448">
        <f t="shared" si="43"/>
        <v>3</v>
      </c>
      <c r="O448" t="str">
        <f t="shared" si="44"/>
        <v>Open</v>
      </c>
      <c r="P448" t="str">
        <f t="shared" si="45"/>
        <v>Mar</v>
      </c>
      <c r="Q448">
        <f t="shared" si="46"/>
        <v>2025</v>
      </c>
      <c r="R448" t="str">
        <f t="shared" si="47"/>
        <v>Open</v>
      </c>
      <c r="S448" t="str">
        <f t="shared" si="48"/>
        <v>Open</v>
      </c>
    </row>
    <row r="449" spans="1:19" x14ac:dyDescent="0.25">
      <c r="A449" t="s">
        <v>530</v>
      </c>
      <c r="B449" s="1">
        <v>45967</v>
      </c>
      <c r="C449" s="1">
        <v>45971</v>
      </c>
      <c r="D449" t="s">
        <v>45</v>
      </c>
      <c r="E449" t="s">
        <v>14</v>
      </c>
      <c r="F449" t="s">
        <v>592</v>
      </c>
      <c r="G449" t="s">
        <v>55</v>
      </c>
      <c r="H449" t="s">
        <v>59</v>
      </c>
      <c r="I449" t="s">
        <v>17</v>
      </c>
      <c r="J449" t="s">
        <v>26</v>
      </c>
      <c r="K449" t="s">
        <v>39</v>
      </c>
      <c r="L449" t="s">
        <v>19</v>
      </c>
      <c r="M449">
        <f t="shared" si="42"/>
        <v>4</v>
      </c>
      <c r="N449">
        <f t="shared" si="43"/>
        <v>5</v>
      </c>
      <c r="O449" t="str">
        <f t="shared" si="44"/>
        <v>Met</v>
      </c>
      <c r="P449" t="str">
        <f t="shared" si="45"/>
        <v>Nov</v>
      </c>
      <c r="Q449">
        <f t="shared" si="46"/>
        <v>2025</v>
      </c>
      <c r="R449" t="str">
        <f t="shared" si="47"/>
        <v>Closed</v>
      </c>
      <c r="S449" t="str">
        <f t="shared" si="48"/>
        <v>Nov</v>
      </c>
    </row>
    <row r="450" spans="1:19" x14ac:dyDescent="0.25">
      <c r="A450" t="s">
        <v>531</v>
      </c>
      <c r="B450" s="1">
        <v>45956</v>
      </c>
      <c r="D450" t="s">
        <v>13</v>
      </c>
      <c r="E450" t="s">
        <v>76</v>
      </c>
      <c r="F450" t="s">
        <v>50</v>
      </c>
      <c r="G450" t="s">
        <v>31</v>
      </c>
      <c r="H450" t="s">
        <v>32</v>
      </c>
      <c r="I450" t="s">
        <v>17</v>
      </c>
      <c r="J450" t="s">
        <v>18</v>
      </c>
      <c r="K450" t="s">
        <v>39</v>
      </c>
      <c r="L450" t="s">
        <v>19</v>
      </c>
      <c r="M450" t="str">
        <f t="shared" ref="M450:M501" si="49">IF(C450="","",C450-B450)</f>
        <v/>
      </c>
      <c r="N450">
        <f t="shared" ref="N450:N501" si="50">IF(D450="P1",1,
IF(D450="P2",3,
IF(D450="P3",5,7)))</f>
        <v>7</v>
      </c>
      <c r="O450" t="str">
        <f t="shared" ref="O450:O501" si="51">IF(C450="","Open",
IF(M450&lt;=N450, "Met", "Breached"))</f>
        <v>Open</v>
      </c>
      <c r="P450" t="str">
        <f t="shared" ref="P450:P501" si="52">TEXT(B450,"mmm")</f>
        <v>Oct</v>
      </c>
      <c r="Q450">
        <f t="shared" ref="Q450:Q501" si="53">YEAR(B450)</f>
        <v>2025</v>
      </c>
      <c r="R450" t="str">
        <f t="shared" ref="R450:R501" si="54">IF(C450="","Open","Closed")</f>
        <v>Open</v>
      </c>
      <c r="S450" t="str">
        <f t="shared" ref="S450:S501" si="55">IF(C450="","Open",TEXT(C450,"mmm"))</f>
        <v>Open</v>
      </c>
    </row>
    <row r="451" spans="1:19" x14ac:dyDescent="0.25">
      <c r="A451" t="s">
        <v>532</v>
      </c>
      <c r="B451" s="1">
        <v>45846</v>
      </c>
      <c r="D451" t="s">
        <v>49</v>
      </c>
      <c r="E451" t="s">
        <v>58</v>
      </c>
      <c r="F451" t="s">
        <v>41</v>
      </c>
      <c r="G451" t="s">
        <v>31</v>
      </c>
      <c r="H451" t="s">
        <v>95</v>
      </c>
      <c r="I451" t="s">
        <v>47</v>
      </c>
      <c r="J451" t="s">
        <v>18</v>
      </c>
      <c r="K451" t="s">
        <v>19</v>
      </c>
      <c r="L451" t="s">
        <v>19</v>
      </c>
      <c r="M451" t="str">
        <f t="shared" si="49"/>
        <v/>
      </c>
      <c r="N451">
        <f t="shared" si="50"/>
        <v>3</v>
      </c>
      <c r="O451" t="str">
        <f t="shared" si="51"/>
        <v>Open</v>
      </c>
      <c r="P451" t="str">
        <f t="shared" si="52"/>
        <v>Jul</v>
      </c>
      <c r="Q451">
        <f t="shared" si="53"/>
        <v>2025</v>
      </c>
      <c r="R451" t="str">
        <f t="shared" si="54"/>
        <v>Open</v>
      </c>
      <c r="S451" t="str">
        <f t="shared" si="55"/>
        <v>Open</v>
      </c>
    </row>
    <row r="452" spans="1:19" x14ac:dyDescent="0.25">
      <c r="A452" t="s">
        <v>533</v>
      </c>
      <c r="B452" s="1">
        <v>45731</v>
      </c>
      <c r="D452" t="s">
        <v>28</v>
      </c>
      <c r="E452" t="s">
        <v>76</v>
      </c>
      <c r="F452" t="s">
        <v>592</v>
      </c>
      <c r="G452" t="s">
        <v>16</v>
      </c>
      <c r="H452" t="s">
        <v>43</v>
      </c>
      <c r="I452" t="s">
        <v>47</v>
      </c>
      <c r="J452" t="s">
        <v>60</v>
      </c>
      <c r="K452" t="s">
        <v>39</v>
      </c>
      <c r="L452" t="s">
        <v>39</v>
      </c>
      <c r="M452" t="str">
        <f t="shared" si="49"/>
        <v/>
      </c>
      <c r="N452">
        <f t="shared" si="50"/>
        <v>1</v>
      </c>
      <c r="O452" t="str">
        <f t="shared" si="51"/>
        <v>Open</v>
      </c>
      <c r="P452" t="str">
        <f t="shared" si="52"/>
        <v>Mar</v>
      </c>
      <c r="Q452">
        <f t="shared" si="53"/>
        <v>2025</v>
      </c>
      <c r="R452" t="str">
        <f t="shared" si="54"/>
        <v>Open</v>
      </c>
      <c r="S452" t="str">
        <f t="shared" si="55"/>
        <v>Open</v>
      </c>
    </row>
    <row r="453" spans="1:19" x14ac:dyDescent="0.25">
      <c r="A453" t="s">
        <v>534</v>
      </c>
      <c r="B453" s="1">
        <v>45795</v>
      </c>
      <c r="D453" t="s">
        <v>13</v>
      </c>
      <c r="E453" t="s">
        <v>58</v>
      </c>
      <c r="F453" t="s">
        <v>36</v>
      </c>
      <c r="G453" t="s">
        <v>55</v>
      </c>
      <c r="H453" t="s">
        <v>151</v>
      </c>
      <c r="I453" t="s">
        <v>47</v>
      </c>
      <c r="J453" t="s">
        <v>34</v>
      </c>
      <c r="K453" t="s">
        <v>20</v>
      </c>
      <c r="L453" t="s">
        <v>20</v>
      </c>
      <c r="M453" t="str">
        <f t="shared" si="49"/>
        <v/>
      </c>
      <c r="N453">
        <f t="shared" si="50"/>
        <v>7</v>
      </c>
      <c r="O453" t="str">
        <f t="shared" si="51"/>
        <v>Open</v>
      </c>
      <c r="P453" t="str">
        <f t="shared" si="52"/>
        <v>May</v>
      </c>
      <c r="Q453">
        <f t="shared" si="53"/>
        <v>2025</v>
      </c>
      <c r="R453" t="str">
        <f t="shared" si="54"/>
        <v>Open</v>
      </c>
      <c r="S453" t="str">
        <f t="shared" si="55"/>
        <v>Open</v>
      </c>
    </row>
    <row r="454" spans="1:19" x14ac:dyDescent="0.25">
      <c r="A454" t="s">
        <v>535</v>
      </c>
      <c r="B454" s="1">
        <v>45782</v>
      </c>
      <c r="D454" t="s">
        <v>13</v>
      </c>
      <c r="E454" t="s">
        <v>76</v>
      </c>
      <c r="F454" t="s">
        <v>15</v>
      </c>
      <c r="G454" t="s">
        <v>42</v>
      </c>
      <c r="H454" t="s">
        <v>59</v>
      </c>
      <c r="I454" t="s">
        <v>38</v>
      </c>
      <c r="J454" t="s">
        <v>34</v>
      </c>
      <c r="K454" t="s">
        <v>20</v>
      </c>
      <c r="L454" t="s">
        <v>19</v>
      </c>
      <c r="M454" t="str">
        <f t="shared" si="49"/>
        <v/>
      </c>
      <c r="N454">
        <f t="shared" si="50"/>
        <v>7</v>
      </c>
      <c r="O454" t="str">
        <f t="shared" si="51"/>
        <v>Open</v>
      </c>
      <c r="P454" t="str">
        <f t="shared" si="52"/>
        <v>May</v>
      </c>
      <c r="Q454">
        <f t="shared" si="53"/>
        <v>2025</v>
      </c>
      <c r="R454" t="str">
        <f t="shared" si="54"/>
        <v>Open</v>
      </c>
      <c r="S454" t="str">
        <f t="shared" si="55"/>
        <v>Open</v>
      </c>
    </row>
    <row r="455" spans="1:19" x14ac:dyDescent="0.25">
      <c r="A455" t="s">
        <v>536</v>
      </c>
      <c r="B455" s="1">
        <v>46008</v>
      </c>
      <c r="C455" s="1">
        <v>46013</v>
      </c>
      <c r="D455" t="s">
        <v>13</v>
      </c>
      <c r="E455" t="s">
        <v>29</v>
      </c>
      <c r="F455" t="s">
        <v>50</v>
      </c>
      <c r="G455" t="s">
        <v>55</v>
      </c>
      <c r="H455" t="s">
        <v>136</v>
      </c>
      <c r="I455" t="s">
        <v>33</v>
      </c>
      <c r="J455" t="s">
        <v>26</v>
      </c>
      <c r="K455" t="s">
        <v>19</v>
      </c>
      <c r="L455" t="s">
        <v>39</v>
      </c>
      <c r="M455">
        <f t="shared" si="49"/>
        <v>5</v>
      </c>
      <c r="N455">
        <f t="shared" si="50"/>
        <v>7</v>
      </c>
      <c r="O455" t="str">
        <f t="shared" si="51"/>
        <v>Met</v>
      </c>
      <c r="P455" t="str">
        <f t="shared" si="52"/>
        <v>Dec</v>
      </c>
      <c r="Q455">
        <f t="shared" si="53"/>
        <v>2025</v>
      </c>
      <c r="R455" t="str">
        <f t="shared" si="54"/>
        <v>Closed</v>
      </c>
      <c r="S455" t="str">
        <f t="shared" si="55"/>
        <v>Dec</v>
      </c>
    </row>
    <row r="456" spans="1:19" x14ac:dyDescent="0.25">
      <c r="A456" t="s">
        <v>537</v>
      </c>
      <c r="B456" s="1">
        <v>45734</v>
      </c>
      <c r="C456" s="1">
        <v>45736</v>
      </c>
      <c r="D456" t="s">
        <v>49</v>
      </c>
      <c r="E456" t="s">
        <v>14</v>
      </c>
      <c r="F456" t="s">
        <v>41</v>
      </c>
      <c r="G456" t="s">
        <v>55</v>
      </c>
      <c r="H456" t="s">
        <v>110</v>
      </c>
      <c r="I456" t="s">
        <v>69</v>
      </c>
      <c r="J456" t="s">
        <v>34</v>
      </c>
      <c r="K456" t="s">
        <v>20</v>
      </c>
      <c r="L456" t="s">
        <v>20</v>
      </c>
      <c r="M456">
        <f t="shared" si="49"/>
        <v>2</v>
      </c>
      <c r="N456">
        <f t="shared" si="50"/>
        <v>3</v>
      </c>
      <c r="O456" t="str">
        <f t="shared" si="51"/>
        <v>Met</v>
      </c>
      <c r="P456" t="str">
        <f t="shared" si="52"/>
        <v>Mar</v>
      </c>
      <c r="Q456">
        <f t="shared" si="53"/>
        <v>2025</v>
      </c>
      <c r="R456" t="str">
        <f t="shared" si="54"/>
        <v>Closed</v>
      </c>
      <c r="S456" t="str">
        <f t="shared" si="55"/>
        <v>Mar</v>
      </c>
    </row>
    <row r="457" spans="1:19" x14ac:dyDescent="0.25">
      <c r="A457" t="s">
        <v>538</v>
      </c>
      <c r="B457" s="1">
        <v>45902</v>
      </c>
      <c r="C457" s="1">
        <v>45903</v>
      </c>
      <c r="D457" t="s">
        <v>49</v>
      </c>
      <c r="E457" t="s">
        <v>14</v>
      </c>
      <c r="F457" t="s">
        <v>66</v>
      </c>
      <c r="G457" t="s">
        <v>42</v>
      </c>
      <c r="H457" t="s">
        <v>37</v>
      </c>
      <c r="I457" t="s">
        <v>38</v>
      </c>
      <c r="J457" t="s">
        <v>18</v>
      </c>
      <c r="K457" t="s">
        <v>19</v>
      </c>
      <c r="L457" t="s">
        <v>20</v>
      </c>
      <c r="M457">
        <f t="shared" si="49"/>
        <v>1</v>
      </c>
      <c r="N457">
        <f t="shared" si="50"/>
        <v>3</v>
      </c>
      <c r="O457" t="str">
        <f t="shared" si="51"/>
        <v>Met</v>
      </c>
      <c r="P457" t="str">
        <f t="shared" si="52"/>
        <v>Sep</v>
      </c>
      <c r="Q457">
        <f t="shared" si="53"/>
        <v>2025</v>
      </c>
      <c r="R457" t="str">
        <f t="shared" si="54"/>
        <v>Closed</v>
      </c>
      <c r="S457" t="str">
        <f t="shared" si="55"/>
        <v>Sep</v>
      </c>
    </row>
    <row r="458" spans="1:19" x14ac:dyDescent="0.25">
      <c r="A458" t="s">
        <v>539</v>
      </c>
      <c r="B458" s="1">
        <v>45910</v>
      </c>
      <c r="C458" s="1">
        <v>45911</v>
      </c>
      <c r="D458" t="s">
        <v>28</v>
      </c>
      <c r="E458" t="s">
        <v>29</v>
      </c>
      <c r="F458" t="s">
        <v>30</v>
      </c>
      <c r="G458" t="s">
        <v>55</v>
      </c>
      <c r="H458" t="s">
        <v>151</v>
      </c>
      <c r="I458" t="s">
        <v>25</v>
      </c>
      <c r="J458" t="s">
        <v>26</v>
      </c>
      <c r="K458" t="s">
        <v>20</v>
      </c>
      <c r="L458" t="s">
        <v>39</v>
      </c>
      <c r="M458">
        <f t="shared" si="49"/>
        <v>1</v>
      </c>
      <c r="N458">
        <f t="shared" si="50"/>
        <v>1</v>
      </c>
      <c r="O458" t="str">
        <f t="shared" si="51"/>
        <v>Met</v>
      </c>
      <c r="P458" t="str">
        <f t="shared" si="52"/>
        <v>Sep</v>
      </c>
      <c r="Q458">
        <f t="shared" si="53"/>
        <v>2025</v>
      </c>
      <c r="R458" t="str">
        <f t="shared" si="54"/>
        <v>Closed</v>
      </c>
      <c r="S458" t="str">
        <f t="shared" si="55"/>
        <v>Sep</v>
      </c>
    </row>
    <row r="459" spans="1:19" x14ac:dyDescent="0.25">
      <c r="A459" t="s">
        <v>540</v>
      </c>
      <c r="B459" s="1">
        <v>45731</v>
      </c>
      <c r="C459" s="1">
        <v>45734</v>
      </c>
      <c r="D459" t="s">
        <v>49</v>
      </c>
      <c r="E459" t="s">
        <v>14</v>
      </c>
      <c r="F459" t="s">
        <v>66</v>
      </c>
      <c r="G459" t="s">
        <v>55</v>
      </c>
      <c r="H459" t="s">
        <v>56</v>
      </c>
      <c r="I459" t="s">
        <v>25</v>
      </c>
      <c r="J459" t="s">
        <v>34</v>
      </c>
      <c r="K459" t="s">
        <v>20</v>
      </c>
      <c r="L459" t="s">
        <v>39</v>
      </c>
      <c r="M459">
        <f t="shared" si="49"/>
        <v>3</v>
      </c>
      <c r="N459">
        <f t="shared" si="50"/>
        <v>3</v>
      </c>
      <c r="O459" t="str">
        <f t="shared" si="51"/>
        <v>Met</v>
      </c>
      <c r="P459" t="str">
        <f t="shared" si="52"/>
        <v>Mar</v>
      </c>
      <c r="Q459">
        <f t="shared" si="53"/>
        <v>2025</v>
      </c>
      <c r="R459" t="str">
        <f t="shared" si="54"/>
        <v>Closed</v>
      </c>
      <c r="S459" t="str">
        <f t="shared" si="55"/>
        <v>Mar</v>
      </c>
    </row>
    <row r="460" spans="1:19" x14ac:dyDescent="0.25">
      <c r="A460" t="s">
        <v>541</v>
      </c>
      <c r="B460" s="1">
        <v>45697</v>
      </c>
      <c r="D460" t="s">
        <v>28</v>
      </c>
      <c r="E460" t="s">
        <v>76</v>
      </c>
      <c r="F460" t="s">
        <v>66</v>
      </c>
      <c r="G460" t="s">
        <v>42</v>
      </c>
      <c r="H460" t="s">
        <v>37</v>
      </c>
      <c r="I460" t="s">
        <v>69</v>
      </c>
      <c r="J460" t="s">
        <v>60</v>
      </c>
      <c r="K460" t="s">
        <v>39</v>
      </c>
      <c r="L460" t="s">
        <v>39</v>
      </c>
      <c r="M460" t="str">
        <f t="shared" si="49"/>
        <v/>
      </c>
      <c r="N460">
        <f t="shared" si="50"/>
        <v>1</v>
      </c>
      <c r="O460" t="str">
        <f t="shared" si="51"/>
        <v>Open</v>
      </c>
      <c r="P460" t="str">
        <f t="shared" si="52"/>
        <v>Feb</v>
      </c>
      <c r="Q460">
        <f t="shared" si="53"/>
        <v>2025</v>
      </c>
      <c r="R460" t="str">
        <f t="shared" si="54"/>
        <v>Open</v>
      </c>
      <c r="S460" t="str">
        <f t="shared" si="55"/>
        <v>Open</v>
      </c>
    </row>
    <row r="461" spans="1:19" x14ac:dyDescent="0.25">
      <c r="A461" t="s">
        <v>542</v>
      </c>
      <c r="B461" s="1">
        <v>45674</v>
      </c>
      <c r="C461" s="1">
        <v>45675</v>
      </c>
      <c r="D461" t="s">
        <v>28</v>
      </c>
      <c r="E461" t="s">
        <v>14</v>
      </c>
      <c r="F461" t="s">
        <v>41</v>
      </c>
      <c r="G461" t="s">
        <v>31</v>
      </c>
      <c r="H461" t="s">
        <v>79</v>
      </c>
      <c r="I461" t="s">
        <v>33</v>
      </c>
      <c r="J461" t="s">
        <v>18</v>
      </c>
      <c r="K461" t="s">
        <v>39</v>
      </c>
      <c r="L461" t="s">
        <v>19</v>
      </c>
      <c r="M461">
        <f t="shared" si="49"/>
        <v>1</v>
      </c>
      <c r="N461">
        <f t="shared" si="50"/>
        <v>1</v>
      </c>
      <c r="O461" t="str">
        <f t="shared" si="51"/>
        <v>Met</v>
      </c>
      <c r="P461" t="str">
        <f t="shared" si="52"/>
        <v>Jan</v>
      </c>
      <c r="Q461">
        <f t="shared" si="53"/>
        <v>2025</v>
      </c>
      <c r="R461" t="str">
        <f t="shared" si="54"/>
        <v>Closed</v>
      </c>
      <c r="S461" t="str">
        <f t="shared" si="55"/>
        <v>Jan</v>
      </c>
    </row>
    <row r="462" spans="1:19" x14ac:dyDescent="0.25">
      <c r="A462" t="s">
        <v>543</v>
      </c>
      <c r="B462" s="1">
        <v>45974</v>
      </c>
      <c r="D462" t="s">
        <v>49</v>
      </c>
      <c r="E462" t="s">
        <v>76</v>
      </c>
      <c r="F462" t="s">
        <v>15</v>
      </c>
      <c r="G462" t="s">
        <v>42</v>
      </c>
      <c r="H462" t="s">
        <v>92</v>
      </c>
      <c r="I462" t="s">
        <v>69</v>
      </c>
      <c r="J462" t="s">
        <v>60</v>
      </c>
      <c r="K462" t="s">
        <v>39</v>
      </c>
      <c r="L462" t="s">
        <v>39</v>
      </c>
      <c r="M462" t="str">
        <f t="shared" si="49"/>
        <v/>
      </c>
      <c r="N462">
        <f t="shared" si="50"/>
        <v>3</v>
      </c>
      <c r="O462" t="str">
        <f t="shared" si="51"/>
        <v>Open</v>
      </c>
      <c r="P462" t="str">
        <f t="shared" si="52"/>
        <v>Nov</v>
      </c>
      <c r="Q462">
        <f t="shared" si="53"/>
        <v>2025</v>
      </c>
      <c r="R462" t="str">
        <f t="shared" si="54"/>
        <v>Open</v>
      </c>
      <c r="S462" t="str">
        <f t="shared" si="55"/>
        <v>Open</v>
      </c>
    </row>
    <row r="463" spans="1:19" x14ac:dyDescent="0.25">
      <c r="A463" t="s">
        <v>544</v>
      </c>
      <c r="B463" s="1">
        <v>45829</v>
      </c>
      <c r="D463" t="s">
        <v>28</v>
      </c>
      <c r="E463" t="s">
        <v>76</v>
      </c>
      <c r="F463" t="s">
        <v>15</v>
      </c>
      <c r="G463" t="s">
        <v>31</v>
      </c>
      <c r="H463" t="s">
        <v>73</v>
      </c>
      <c r="I463" t="s">
        <v>33</v>
      </c>
      <c r="J463" t="s">
        <v>60</v>
      </c>
      <c r="K463" t="s">
        <v>19</v>
      </c>
      <c r="L463" t="s">
        <v>20</v>
      </c>
      <c r="M463" t="str">
        <f t="shared" si="49"/>
        <v/>
      </c>
      <c r="N463">
        <f t="shared" si="50"/>
        <v>1</v>
      </c>
      <c r="O463" t="str">
        <f t="shared" si="51"/>
        <v>Open</v>
      </c>
      <c r="P463" t="str">
        <f t="shared" si="52"/>
        <v>Jun</v>
      </c>
      <c r="Q463">
        <f t="shared" si="53"/>
        <v>2025</v>
      </c>
      <c r="R463" t="str">
        <f t="shared" si="54"/>
        <v>Open</v>
      </c>
      <c r="S463" t="str">
        <f t="shared" si="55"/>
        <v>Open</v>
      </c>
    </row>
    <row r="464" spans="1:19" x14ac:dyDescent="0.25">
      <c r="A464" t="s">
        <v>546</v>
      </c>
      <c r="B464" s="1">
        <v>45819</v>
      </c>
      <c r="D464" t="s">
        <v>28</v>
      </c>
      <c r="E464" t="s">
        <v>76</v>
      </c>
      <c r="F464" t="s">
        <v>50</v>
      </c>
      <c r="G464" t="s">
        <v>23</v>
      </c>
      <c r="H464" t="s">
        <v>46</v>
      </c>
      <c r="I464" t="s">
        <v>33</v>
      </c>
      <c r="J464" t="s">
        <v>34</v>
      </c>
      <c r="K464" t="s">
        <v>39</v>
      </c>
      <c r="L464" t="s">
        <v>19</v>
      </c>
      <c r="M464" t="str">
        <f t="shared" si="49"/>
        <v/>
      </c>
      <c r="N464">
        <f t="shared" si="50"/>
        <v>1</v>
      </c>
      <c r="O464" t="str">
        <f t="shared" si="51"/>
        <v>Open</v>
      </c>
      <c r="P464" t="str">
        <f t="shared" si="52"/>
        <v>Jun</v>
      </c>
      <c r="Q464">
        <f t="shared" si="53"/>
        <v>2025</v>
      </c>
      <c r="R464" t="str">
        <f t="shared" si="54"/>
        <v>Open</v>
      </c>
      <c r="S464" t="str">
        <f t="shared" si="55"/>
        <v>Open</v>
      </c>
    </row>
    <row r="465" spans="1:19" x14ac:dyDescent="0.25">
      <c r="A465" t="s">
        <v>547</v>
      </c>
      <c r="B465" s="1">
        <v>45902</v>
      </c>
      <c r="C465" s="1">
        <v>45905</v>
      </c>
      <c r="D465" t="s">
        <v>45</v>
      </c>
      <c r="E465" t="s">
        <v>29</v>
      </c>
      <c r="F465" t="s">
        <v>15</v>
      </c>
      <c r="G465" t="s">
        <v>31</v>
      </c>
      <c r="H465" t="s">
        <v>79</v>
      </c>
      <c r="I465" t="s">
        <v>38</v>
      </c>
      <c r="J465" t="s">
        <v>34</v>
      </c>
      <c r="K465" t="s">
        <v>20</v>
      </c>
      <c r="L465" t="s">
        <v>20</v>
      </c>
      <c r="M465">
        <f t="shared" si="49"/>
        <v>3</v>
      </c>
      <c r="N465">
        <f t="shared" si="50"/>
        <v>5</v>
      </c>
      <c r="O465" t="str">
        <f t="shared" si="51"/>
        <v>Met</v>
      </c>
      <c r="P465" t="str">
        <f t="shared" si="52"/>
        <v>Sep</v>
      </c>
      <c r="Q465">
        <f t="shared" si="53"/>
        <v>2025</v>
      </c>
      <c r="R465" t="str">
        <f t="shared" si="54"/>
        <v>Closed</v>
      </c>
      <c r="S465" t="str">
        <f t="shared" si="55"/>
        <v>Sep</v>
      </c>
    </row>
    <row r="466" spans="1:19" x14ac:dyDescent="0.25">
      <c r="A466" t="s">
        <v>548</v>
      </c>
      <c r="B466" s="1">
        <v>45878</v>
      </c>
      <c r="D466" t="s">
        <v>45</v>
      </c>
      <c r="E466" t="s">
        <v>76</v>
      </c>
      <c r="F466" t="s">
        <v>30</v>
      </c>
      <c r="G466" t="s">
        <v>42</v>
      </c>
      <c r="H466" t="s">
        <v>95</v>
      </c>
      <c r="I466" t="s">
        <v>33</v>
      </c>
      <c r="J466" t="s">
        <v>60</v>
      </c>
      <c r="K466" t="s">
        <v>20</v>
      </c>
      <c r="L466" t="s">
        <v>39</v>
      </c>
      <c r="M466" t="str">
        <f t="shared" si="49"/>
        <v/>
      </c>
      <c r="N466">
        <f t="shared" si="50"/>
        <v>5</v>
      </c>
      <c r="O466" t="str">
        <f t="shared" si="51"/>
        <v>Open</v>
      </c>
      <c r="P466" t="str">
        <f t="shared" si="52"/>
        <v>Aug</v>
      </c>
      <c r="Q466">
        <f t="shared" si="53"/>
        <v>2025</v>
      </c>
      <c r="R466" t="str">
        <f t="shared" si="54"/>
        <v>Open</v>
      </c>
      <c r="S466" t="str">
        <f t="shared" si="55"/>
        <v>Open</v>
      </c>
    </row>
    <row r="467" spans="1:19" x14ac:dyDescent="0.25">
      <c r="A467" t="s">
        <v>549</v>
      </c>
      <c r="B467" s="1">
        <v>45744</v>
      </c>
      <c r="C467" s="1">
        <v>45746</v>
      </c>
      <c r="D467" t="s">
        <v>45</v>
      </c>
      <c r="E467" t="s">
        <v>14</v>
      </c>
      <c r="F467" t="s">
        <v>41</v>
      </c>
      <c r="G467" t="s">
        <v>31</v>
      </c>
      <c r="H467" t="s">
        <v>134</v>
      </c>
      <c r="I467" t="s">
        <v>47</v>
      </c>
      <c r="J467" t="s">
        <v>26</v>
      </c>
      <c r="K467" t="s">
        <v>20</v>
      </c>
      <c r="L467" t="s">
        <v>20</v>
      </c>
      <c r="M467">
        <f t="shared" si="49"/>
        <v>2</v>
      </c>
      <c r="N467">
        <f t="shared" si="50"/>
        <v>5</v>
      </c>
      <c r="O467" t="str">
        <f t="shared" si="51"/>
        <v>Met</v>
      </c>
      <c r="P467" t="str">
        <f t="shared" si="52"/>
        <v>Mar</v>
      </c>
      <c r="Q467">
        <f t="shared" si="53"/>
        <v>2025</v>
      </c>
      <c r="R467" t="str">
        <f t="shared" si="54"/>
        <v>Closed</v>
      </c>
      <c r="S467" t="str">
        <f t="shared" si="55"/>
        <v>Mar</v>
      </c>
    </row>
    <row r="468" spans="1:19" x14ac:dyDescent="0.25">
      <c r="A468" t="s">
        <v>550</v>
      </c>
      <c r="B468" s="1">
        <v>46006</v>
      </c>
      <c r="D468" t="s">
        <v>49</v>
      </c>
      <c r="E468" t="s">
        <v>58</v>
      </c>
      <c r="F468" t="s">
        <v>22</v>
      </c>
      <c r="G468" t="s">
        <v>55</v>
      </c>
      <c r="H468" t="s">
        <v>73</v>
      </c>
      <c r="I468" t="s">
        <v>52</v>
      </c>
      <c r="J468" t="s">
        <v>60</v>
      </c>
      <c r="K468" t="s">
        <v>39</v>
      </c>
      <c r="L468" t="s">
        <v>39</v>
      </c>
      <c r="M468" t="str">
        <f t="shared" si="49"/>
        <v/>
      </c>
      <c r="N468">
        <f t="shared" si="50"/>
        <v>3</v>
      </c>
      <c r="O468" t="str">
        <f t="shared" si="51"/>
        <v>Open</v>
      </c>
      <c r="P468" t="str">
        <f t="shared" si="52"/>
        <v>Dec</v>
      </c>
      <c r="Q468">
        <f t="shared" si="53"/>
        <v>2025</v>
      </c>
      <c r="R468" t="str">
        <f t="shared" si="54"/>
        <v>Open</v>
      </c>
      <c r="S468" t="str">
        <f t="shared" si="55"/>
        <v>Open</v>
      </c>
    </row>
    <row r="469" spans="1:19" x14ac:dyDescent="0.25">
      <c r="A469" t="s">
        <v>551</v>
      </c>
      <c r="B469" s="1">
        <v>45739</v>
      </c>
      <c r="C469" s="1">
        <v>45742</v>
      </c>
      <c r="D469" t="s">
        <v>49</v>
      </c>
      <c r="E469" t="s">
        <v>29</v>
      </c>
      <c r="F469" t="s">
        <v>41</v>
      </c>
      <c r="G469" t="s">
        <v>55</v>
      </c>
      <c r="H469" t="s">
        <v>43</v>
      </c>
      <c r="I469" t="s">
        <v>38</v>
      </c>
      <c r="J469" t="s">
        <v>26</v>
      </c>
      <c r="K469" t="s">
        <v>39</v>
      </c>
      <c r="L469" t="s">
        <v>20</v>
      </c>
      <c r="M469">
        <f t="shared" si="49"/>
        <v>3</v>
      </c>
      <c r="N469">
        <f t="shared" si="50"/>
        <v>3</v>
      </c>
      <c r="O469" t="str">
        <f t="shared" si="51"/>
        <v>Met</v>
      </c>
      <c r="P469" t="str">
        <f t="shared" si="52"/>
        <v>Mar</v>
      </c>
      <c r="Q469">
        <f t="shared" si="53"/>
        <v>2025</v>
      </c>
      <c r="R469" t="str">
        <f t="shared" si="54"/>
        <v>Closed</v>
      </c>
      <c r="S469" t="str">
        <f t="shared" si="55"/>
        <v>Mar</v>
      </c>
    </row>
    <row r="470" spans="1:19" x14ac:dyDescent="0.25">
      <c r="A470" t="s">
        <v>552</v>
      </c>
      <c r="B470" s="1">
        <v>45967</v>
      </c>
      <c r="C470" s="1">
        <v>45972</v>
      </c>
      <c r="D470" t="s">
        <v>13</v>
      </c>
      <c r="E470" t="s">
        <v>29</v>
      </c>
      <c r="F470" t="s">
        <v>66</v>
      </c>
      <c r="G470" t="s">
        <v>42</v>
      </c>
      <c r="H470" t="s">
        <v>92</v>
      </c>
      <c r="I470" t="s">
        <v>17</v>
      </c>
      <c r="J470" t="s">
        <v>60</v>
      </c>
      <c r="K470" t="s">
        <v>39</v>
      </c>
      <c r="L470" t="s">
        <v>39</v>
      </c>
      <c r="M470">
        <f t="shared" si="49"/>
        <v>5</v>
      </c>
      <c r="N470">
        <f t="shared" si="50"/>
        <v>7</v>
      </c>
      <c r="O470" t="str">
        <f t="shared" si="51"/>
        <v>Met</v>
      </c>
      <c r="P470" t="str">
        <f t="shared" si="52"/>
        <v>Nov</v>
      </c>
      <c r="Q470">
        <f t="shared" si="53"/>
        <v>2025</v>
      </c>
      <c r="R470" t="str">
        <f t="shared" si="54"/>
        <v>Closed</v>
      </c>
      <c r="S470" t="str">
        <f t="shared" si="55"/>
        <v>Nov</v>
      </c>
    </row>
    <row r="471" spans="1:19" x14ac:dyDescent="0.25">
      <c r="A471" t="s">
        <v>553</v>
      </c>
      <c r="B471" s="1">
        <v>46008</v>
      </c>
      <c r="C471" s="1">
        <v>46015</v>
      </c>
      <c r="D471" t="s">
        <v>13</v>
      </c>
      <c r="E471" t="s">
        <v>29</v>
      </c>
      <c r="F471" t="s">
        <v>50</v>
      </c>
      <c r="G471" t="s">
        <v>23</v>
      </c>
      <c r="H471" t="s">
        <v>73</v>
      </c>
      <c r="I471" t="s">
        <v>69</v>
      </c>
      <c r="J471" t="s">
        <v>26</v>
      </c>
      <c r="K471" t="s">
        <v>39</v>
      </c>
      <c r="L471" t="s">
        <v>39</v>
      </c>
      <c r="M471">
        <f t="shared" si="49"/>
        <v>7</v>
      </c>
      <c r="N471">
        <f t="shared" si="50"/>
        <v>7</v>
      </c>
      <c r="O471" t="str">
        <f t="shared" si="51"/>
        <v>Met</v>
      </c>
      <c r="P471" t="str">
        <f t="shared" si="52"/>
        <v>Dec</v>
      </c>
      <c r="Q471">
        <f t="shared" si="53"/>
        <v>2025</v>
      </c>
      <c r="R471" t="str">
        <f t="shared" si="54"/>
        <v>Closed</v>
      </c>
      <c r="S471" t="str">
        <f t="shared" si="55"/>
        <v>Dec</v>
      </c>
    </row>
    <row r="472" spans="1:19" x14ac:dyDescent="0.25">
      <c r="A472" t="s">
        <v>554</v>
      </c>
      <c r="B472" s="1">
        <v>45872</v>
      </c>
      <c r="C472" s="1">
        <v>45875</v>
      </c>
      <c r="D472" t="s">
        <v>45</v>
      </c>
      <c r="E472" t="s">
        <v>29</v>
      </c>
      <c r="F472" t="s">
        <v>36</v>
      </c>
      <c r="G472" t="s">
        <v>16</v>
      </c>
      <c r="H472" t="s">
        <v>37</v>
      </c>
      <c r="I472" t="s">
        <v>25</v>
      </c>
      <c r="J472" t="s">
        <v>34</v>
      </c>
      <c r="K472" t="s">
        <v>20</v>
      </c>
      <c r="L472" t="s">
        <v>39</v>
      </c>
      <c r="M472">
        <f t="shared" si="49"/>
        <v>3</v>
      </c>
      <c r="N472">
        <f t="shared" si="50"/>
        <v>5</v>
      </c>
      <c r="O472" t="str">
        <f t="shared" si="51"/>
        <v>Met</v>
      </c>
      <c r="P472" t="str">
        <f t="shared" si="52"/>
        <v>Aug</v>
      </c>
      <c r="Q472">
        <f t="shared" si="53"/>
        <v>2025</v>
      </c>
      <c r="R472" t="str">
        <f t="shared" si="54"/>
        <v>Closed</v>
      </c>
      <c r="S472" t="str">
        <f t="shared" si="55"/>
        <v>Aug</v>
      </c>
    </row>
    <row r="473" spans="1:19" x14ac:dyDescent="0.25">
      <c r="A473" t="s">
        <v>555</v>
      </c>
      <c r="B473" s="1">
        <v>45820</v>
      </c>
      <c r="D473" t="s">
        <v>49</v>
      </c>
      <c r="E473" t="s">
        <v>76</v>
      </c>
      <c r="F473" t="s">
        <v>36</v>
      </c>
      <c r="G473" t="s">
        <v>16</v>
      </c>
      <c r="H473" t="s">
        <v>32</v>
      </c>
      <c r="I473" t="s">
        <v>38</v>
      </c>
      <c r="J473" t="s">
        <v>34</v>
      </c>
      <c r="K473" t="s">
        <v>19</v>
      </c>
      <c r="L473" t="s">
        <v>20</v>
      </c>
      <c r="M473" t="str">
        <f t="shared" si="49"/>
        <v/>
      </c>
      <c r="N473">
        <f t="shared" si="50"/>
        <v>3</v>
      </c>
      <c r="O473" t="str">
        <f t="shared" si="51"/>
        <v>Open</v>
      </c>
      <c r="P473" t="str">
        <f t="shared" si="52"/>
        <v>Jun</v>
      </c>
      <c r="Q473">
        <f t="shared" si="53"/>
        <v>2025</v>
      </c>
      <c r="R473" t="str">
        <f t="shared" si="54"/>
        <v>Open</v>
      </c>
      <c r="S473" t="str">
        <f t="shared" si="55"/>
        <v>Open</v>
      </c>
    </row>
    <row r="474" spans="1:19" x14ac:dyDescent="0.25">
      <c r="A474" t="s">
        <v>556</v>
      </c>
      <c r="B474" s="1">
        <v>45765</v>
      </c>
      <c r="C474" s="1">
        <v>45765</v>
      </c>
      <c r="D474" t="s">
        <v>45</v>
      </c>
      <c r="E474" t="s">
        <v>14</v>
      </c>
      <c r="F474" t="s">
        <v>15</v>
      </c>
      <c r="G474" t="s">
        <v>23</v>
      </c>
      <c r="H474" t="s">
        <v>77</v>
      </c>
      <c r="I474" t="s">
        <v>25</v>
      </c>
      <c r="J474" t="s">
        <v>34</v>
      </c>
      <c r="K474" t="s">
        <v>20</v>
      </c>
      <c r="L474" t="s">
        <v>20</v>
      </c>
      <c r="M474">
        <f t="shared" si="49"/>
        <v>0</v>
      </c>
      <c r="N474">
        <f t="shared" si="50"/>
        <v>5</v>
      </c>
      <c r="O474" t="str">
        <f t="shared" si="51"/>
        <v>Met</v>
      </c>
      <c r="P474" t="str">
        <f t="shared" si="52"/>
        <v>Apr</v>
      </c>
      <c r="Q474">
        <f t="shared" si="53"/>
        <v>2025</v>
      </c>
      <c r="R474" t="str">
        <f t="shared" si="54"/>
        <v>Closed</v>
      </c>
      <c r="S474" t="str">
        <f t="shared" si="55"/>
        <v>Apr</v>
      </c>
    </row>
    <row r="475" spans="1:19" x14ac:dyDescent="0.25">
      <c r="A475" t="s">
        <v>557</v>
      </c>
      <c r="B475" s="1">
        <v>45941</v>
      </c>
      <c r="C475" s="1">
        <v>45941</v>
      </c>
      <c r="D475" t="s">
        <v>28</v>
      </c>
      <c r="E475" t="s">
        <v>29</v>
      </c>
      <c r="F475" t="s">
        <v>50</v>
      </c>
      <c r="G475" t="s">
        <v>55</v>
      </c>
      <c r="H475" t="s">
        <v>46</v>
      </c>
      <c r="I475" t="s">
        <v>33</v>
      </c>
      <c r="J475" t="s">
        <v>18</v>
      </c>
      <c r="K475" t="s">
        <v>39</v>
      </c>
      <c r="L475" t="s">
        <v>20</v>
      </c>
      <c r="M475">
        <f t="shared" si="49"/>
        <v>0</v>
      </c>
      <c r="N475">
        <f t="shared" si="50"/>
        <v>1</v>
      </c>
      <c r="O475" t="str">
        <f t="shared" si="51"/>
        <v>Met</v>
      </c>
      <c r="P475" t="str">
        <f t="shared" si="52"/>
        <v>Oct</v>
      </c>
      <c r="Q475">
        <f t="shared" si="53"/>
        <v>2025</v>
      </c>
      <c r="R475" t="str">
        <f t="shared" si="54"/>
        <v>Closed</v>
      </c>
      <c r="S475" t="str">
        <f t="shared" si="55"/>
        <v>Oct</v>
      </c>
    </row>
    <row r="476" spans="1:19" x14ac:dyDescent="0.25">
      <c r="A476" t="s">
        <v>558</v>
      </c>
      <c r="B476" s="1">
        <v>45977</v>
      </c>
      <c r="C476" s="1">
        <v>45979</v>
      </c>
      <c r="D476" t="s">
        <v>13</v>
      </c>
      <c r="E476" t="s">
        <v>14</v>
      </c>
      <c r="F476" t="s">
        <v>592</v>
      </c>
      <c r="G476" t="s">
        <v>42</v>
      </c>
      <c r="H476" t="s">
        <v>92</v>
      </c>
      <c r="I476" t="s">
        <v>38</v>
      </c>
      <c r="J476" t="s">
        <v>18</v>
      </c>
      <c r="K476" t="s">
        <v>39</v>
      </c>
      <c r="L476" t="s">
        <v>20</v>
      </c>
      <c r="M476">
        <f t="shared" si="49"/>
        <v>2</v>
      </c>
      <c r="N476">
        <f t="shared" si="50"/>
        <v>7</v>
      </c>
      <c r="O476" t="str">
        <f t="shared" si="51"/>
        <v>Met</v>
      </c>
      <c r="P476" t="str">
        <f t="shared" si="52"/>
        <v>Nov</v>
      </c>
      <c r="Q476">
        <f t="shared" si="53"/>
        <v>2025</v>
      </c>
      <c r="R476" t="str">
        <f t="shared" si="54"/>
        <v>Closed</v>
      </c>
      <c r="S476" t="str">
        <f t="shared" si="55"/>
        <v>Nov</v>
      </c>
    </row>
    <row r="477" spans="1:19" x14ac:dyDescent="0.25">
      <c r="A477" t="s">
        <v>559</v>
      </c>
      <c r="B477" s="1">
        <v>45917</v>
      </c>
      <c r="C477" s="1">
        <v>45917</v>
      </c>
      <c r="D477" t="s">
        <v>45</v>
      </c>
      <c r="E477" t="s">
        <v>29</v>
      </c>
      <c r="F477" t="s">
        <v>36</v>
      </c>
      <c r="G477" t="s">
        <v>23</v>
      </c>
      <c r="H477" t="s">
        <v>128</v>
      </c>
      <c r="I477" t="s">
        <v>69</v>
      </c>
      <c r="J477" t="s">
        <v>34</v>
      </c>
      <c r="K477" t="s">
        <v>19</v>
      </c>
      <c r="L477" t="s">
        <v>20</v>
      </c>
      <c r="M477">
        <f t="shared" si="49"/>
        <v>0</v>
      </c>
      <c r="N477">
        <f t="shared" si="50"/>
        <v>5</v>
      </c>
      <c r="O477" t="str">
        <f t="shared" si="51"/>
        <v>Met</v>
      </c>
      <c r="P477" t="str">
        <f t="shared" si="52"/>
        <v>Sep</v>
      </c>
      <c r="Q477">
        <f t="shared" si="53"/>
        <v>2025</v>
      </c>
      <c r="R477" t="str">
        <f t="shared" si="54"/>
        <v>Closed</v>
      </c>
      <c r="S477" t="str">
        <f t="shared" si="55"/>
        <v>Sep</v>
      </c>
    </row>
    <row r="478" spans="1:19" x14ac:dyDescent="0.25">
      <c r="A478" t="s">
        <v>560</v>
      </c>
      <c r="B478" s="1">
        <v>45858</v>
      </c>
      <c r="D478" t="s">
        <v>49</v>
      </c>
      <c r="E478" t="s">
        <v>58</v>
      </c>
      <c r="F478" t="s">
        <v>592</v>
      </c>
      <c r="G478" t="s">
        <v>23</v>
      </c>
      <c r="H478" t="s">
        <v>77</v>
      </c>
      <c r="I478" t="s">
        <v>33</v>
      </c>
      <c r="J478" t="s">
        <v>60</v>
      </c>
      <c r="K478" t="s">
        <v>19</v>
      </c>
      <c r="L478" t="s">
        <v>19</v>
      </c>
      <c r="M478" t="str">
        <f t="shared" si="49"/>
        <v/>
      </c>
      <c r="N478">
        <f t="shared" si="50"/>
        <v>3</v>
      </c>
      <c r="O478" t="str">
        <f t="shared" si="51"/>
        <v>Open</v>
      </c>
      <c r="P478" t="str">
        <f t="shared" si="52"/>
        <v>Jul</v>
      </c>
      <c r="Q478">
        <f t="shared" si="53"/>
        <v>2025</v>
      </c>
      <c r="R478" t="str">
        <f t="shared" si="54"/>
        <v>Open</v>
      </c>
      <c r="S478" t="str">
        <f t="shared" si="55"/>
        <v>Open</v>
      </c>
    </row>
    <row r="479" spans="1:19" x14ac:dyDescent="0.25">
      <c r="A479" t="s">
        <v>561</v>
      </c>
      <c r="B479" s="1">
        <v>45979</v>
      </c>
      <c r="C479" s="1">
        <v>45980</v>
      </c>
      <c r="D479" t="s">
        <v>13</v>
      </c>
      <c r="E479" t="s">
        <v>14</v>
      </c>
      <c r="F479" t="s">
        <v>15</v>
      </c>
      <c r="G479" t="s">
        <v>42</v>
      </c>
      <c r="H479" t="s">
        <v>591</v>
      </c>
      <c r="I479" t="s">
        <v>52</v>
      </c>
      <c r="J479" t="s">
        <v>26</v>
      </c>
      <c r="K479" t="s">
        <v>39</v>
      </c>
      <c r="L479" t="s">
        <v>39</v>
      </c>
      <c r="M479">
        <f t="shared" si="49"/>
        <v>1</v>
      </c>
      <c r="N479">
        <f t="shared" si="50"/>
        <v>7</v>
      </c>
      <c r="O479" t="str">
        <f t="shared" si="51"/>
        <v>Met</v>
      </c>
      <c r="P479" t="str">
        <f t="shared" si="52"/>
        <v>Nov</v>
      </c>
      <c r="Q479">
        <f t="shared" si="53"/>
        <v>2025</v>
      </c>
      <c r="R479" t="str">
        <f t="shared" si="54"/>
        <v>Closed</v>
      </c>
      <c r="S479" t="str">
        <f t="shared" si="55"/>
        <v>Nov</v>
      </c>
    </row>
    <row r="480" spans="1:19" x14ac:dyDescent="0.25">
      <c r="A480" t="s">
        <v>562</v>
      </c>
      <c r="B480" s="1">
        <v>45771</v>
      </c>
      <c r="C480" s="1">
        <v>45772</v>
      </c>
      <c r="D480" t="s">
        <v>28</v>
      </c>
      <c r="E480" t="s">
        <v>29</v>
      </c>
      <c r="F480" t="s">
        <v>36</v>
      </c>
      <c r="G480" t="s">
        <v>16</v>
      </c>
      <c r="H480" t="s">
        <v>46</v>
      </c>
      <c r="I480" t="s">
        <v>25</v>
      </c>
      <c r="J480" t="s">
        <v>34</v>
      </c>
      <c r="K480" t="s">
        <v>20</v>
      </c>
      <c r="L480" t="s">
        <v>20</v>
      </c>
      <c r="M480">
        <f t="shared" si="49"/>
        <v>1</v>
      </c>
      <c r="N480">
        <f t="shared" si="50"/>
        <v>1</v>
      </c>
      <c r="O480" t="str">
        <f t="shared" si="51"/>
        <v>Met</v>
      </c>
      <c r="P480" t="str">
        <f t="shared" si="52"/>
        <v>Apr</v>
      </c>
      <c r="Q480">
        <f t="shared" si="53"/>
        <v>2025</v>
      </c>
      <c r="R480" t="str">
        <f t="shared" si="54"/>
        <v>Closed</v>
      </c>
      <c r="S480" t="str">
        <f t="shared" si="55"/>
        <v>Apr</v>
      </c>
    </row>
    <row r="481" spans="1:19" x14ac:dyDescent="0.25">
      <c r="A481" t="s">
        <v>563</v>
      </c>
      <c r="B481" s="1">
        <v>45705</v>
      </c>
      <c r="D481" t="s">
        <v>45</v>
      </c>
      <c r="E481" t="s">
        <v>76</v>
      </c>
      <c r="F481" t="s">
        <v>30</v>
      </c>
      <c r="G481" t="s">
        <v>55</v>
      </c>
      <c r="H481" t="s">
        <v>77</v>
      </c>
      <c r="I481" t="s">
        <v>52</v>
      </c>
      <c r="J481" t="s">
        <v>18</v>
      </c>
      <c r="K481" t="s">
        <v>39</v>
      </c>
      <c r="L481" t="s">
        <v>39</v>
      </c>
      <c r="M481" t="str">
        <f t="shared" si="49"/>
        <v/>
      </c>
      <c r="N481">
        <f t="shared" si="50"/>
        <v>5</v>
      </c>
      <c r="O481" t="str">
        <f t="shared" si="51"/>
        <v>Open</v>
      </c>
      <c r="P481" t="str">
        <f t="shared" si="52"/>
        <v>Feb</v>
      </c>
      <c r="Q481">
        <f t="shared" si="53"/>
        <v>2025</v>
      </c>
      <c r="R481" t="str">
        <f t="shared" si="54"/>
        <v>Open</v>
      </c>
      <c r="S481" t="str">
        <f t="shared" si="55"/>
        <v>Open</v>
      </c>
    </row>
    <row r="482" spans="1:19" x14ac:dyDescent="0.25">
      <c r="A482" t="s">
        <v>564</v>
      </c>
      <c r="B482" s="1">
        <v>45749</v>
      </c>
      <c r="C482" s="1">
        <v>45749</v>
      </c>
      <c r="D482" t="s">
        <v>49</v>
      </c>
      <c r="E482" t="s">
        <v>14</v>
      </c>
      <c r="F482" t="s">
        <v>36</v>
      </c>
      <c r="G482" t="s">
        <v>55</v>
      </c>
      <c r="H482" t="s">
        <v>128</v>
      </c>
      <c r="I482" t="s">
        <v>17</v>
      </c>
      <c r="J482" t="s">
        <v>26</v>
      </c>
      <c r="K482" t="s">
        <v>39</v>
      </c>
      <c r="L482" t="s">
        <v>39</v>
      </c>
      <c r="M482">
        <f t="shared" si="49"/>
        <v>0</v>
      </c>
      <c r="N482">
        <f t="shared" si="50"/>
        <v>3</v>
      </c>
      <c r="O482" t="str">
        <f t="shared" si="51"/>
        <v>Met</v>
      </c>
      <c r="P482" t="str">
        <f t="shared" si="52"/>
        <v>Apr</v>
      </c>
      <c r="Q482">
        <f t="shared" si="53"/>
        <v>2025</v>
      </c>
      <c r="R482" t="str">
        <f t="shared" si="54"/>
        <v>Closed</v>
      </c>
      <c r="S482" t="str">
        <f t="shared" si="55"/>
        <v>Apr</v>
      </c>
    </row>
    <row r="483" spans="1:19" x14ac:dyDescent="0.25">
      <c r="A483" t="s">
        <v>565</v>
      </c>
      <c r="B483" s="1">
        <v>45728</v>
      </c>
      <c r="D483" t="s">
        <v>13</v>
      </c>
      <c r="E483" t="s">
        <v>58</v>
      </c>
      <c r="F483" t="s">
        <v>50</v>
      </c>
      <c r="G483" t="s">
        <v>23</v>
      </c>
      <c r="H483" t="s">
        <v>151</v>
      </c>
      <c r="I483" t="s">
        <v>17</v>
      </c>
      <c r="J483" t="s">
        <v>26</v>
      </c>
      <c r="K483" t="s">
        <v>39</v>
      </c>
      <c r="L483" t="s">
        <v>39</v>
      </c>
      <c r="M483" t="str">
        <f t="shared" si="49"/>
        <v/>
      </c>
      <c r="N483">
        <f t="shared" si="50"/>
        <v>7</v>
      </c>
      <c r="O483" t="str">
        <f t="shared" si="51"/>
        <v>Open</v>
      </c>
      <c r="P483" t="str">
        <f t="shared" si="52"/>
        <v>Mar</v>
      </c>
      <c r="Q483">
        <f t="shared" si="53"/>
        <v>2025</v>
      </c>
      <c r="R483" t="str">
        <f t="shared" si="54"/>
        <v>Open</v>
      </c>
      <c r="S483" t="str">
        <f t="shared" si="55"/>
        <v>Open</v>
      </c>
    </row>
    <row r="484" spans="1:19" x14ac:dyDescent="0.25">
      <c r="A484" t="s">
        <v>566</v>
      </c>
      <c r="B484" s="1">
        <v>45801</v>
      </c>
      <c r="C484" s="1">
        <v>45803</v>
      </c>
      <c r="D484" t="s">
        <v>49</v>
      </c>
      <c r="E484" t="s">
        <v>14</v>
      </c>
      <c r="F484" t="s">
        <v>41</v>
      </c>
      <c r="G484" t="s">
        <v>23</v>
      </c>
      <c r="H484" t="s">
        <v>136</v>
      </c>
      <c r="I484" t="s">
        <v>33</v>
      </c>
      <c r="J484" t="s">
        <v>26</v>
      </c>
      <c r="K484" t="s">
        <v>20</v>
      </c>
      <c r="L484" t="s">
        <v>19</v>
      </c>
      <c r="M484">
        <f t="shared" si="49"/>
        <v>2</v>
      </c>
      <c r="N484">
        <f t="shared" si="50"/>
        <v>3</v>
      </c>
      <c r="O484" t="str">
        <f t="shared" si="51"/>
        <v>Met</v>
      </c>
      <c r="P484" t="str">
        <f t="shared" si="52"/>
        <v>May</v>
      </c>
      <c r="Q484">
        <f t="shared" si="53"/>
        <v>2025</v>
      </c>
      <c r="R484" t="str">
        <f t="shared" si="54"/>
        <v>Closed</v>
      </c>
      <c r="S484" t="str">
        <f t="shared" si="55"/>
        <v>May</v>
      </c>
    </row>
    <row r="485" spans="1:19" x14ac:dyDescent="0.25">
      <c r="A485" t="s">
        <v>567</v>
      </c>
      <c r="B485" s="1">
        <v>45888</v>
      </c>
      <c r="D485" t="s">
        <v>45</v>
      </c>
      <c r="E485" t="s">
        <v>58</v>
      </c>
      <c r="F485" t="s">
        <v>592</v>
      </c>
      <c r="G485" t="s">
        <v>23</v>
      </c>
      <c r="H485" t="s">
        <v>46</v>
      </c>
      <c r="I485" t="s">
        <v>38</v>
      </c>
      <c r="J485" t="s">
        <v>34</v>
      </c>
      <c r="K485" t="s">
        <v>20</v>
      </c>
      <c r="L485" t="s">
        <v>39</v>
      </c>
      <c r="M485" t="str">
        <f t="shared" si="49"/>
        <v/>
      </c>
      <c r="N485">
        <f t="shared" si="50"/>
        <v>5</v>
      </c>
      <c r="O485" t="str">
        <f t="shared" si="51"/>
        <v>Open</v>
      </c>
      <c r="P485" t="str">
        <f t="shared" si="52"/>
        <v>Aug</v>
      </c>
      <c r="Q485">
        <f t="shared" si="53"/>
        <v>2025</v>
      </c>
      <c r="R485" t="str">
        <f t="shared" si="54"/>
        <v>Open</v>
      </c>
      <c r="S485" t="str">
        <f t="shared" si="55"/>
        <v>Open</v>
      </c>
    </row>
    <row r="486" spans="1:19" x14ac:dyDescent="0.25">
      <c r="A486" t="s">
        <v>568</v>
      </c>
      <c r="B486" s="1">
        <v>45994</v>
      </c>
      <c r="C486" s="1">
        <v>45997</v>
      </c>
      <c r="D486" t="s">
        <v>49</v>
      </c>
      <c r="E486" t="s">
        <v>29</v>
      </c>
      <c r="F486" t="s">
        <v>22</v>
      </c>
      <c r="G486" t="s">
        <v>55</v>
      </c>
      <c r="H486" t="s">
        <v>136</v>
      </c>
      <c r="I486" t="s">
        <v>25</v>
      </c>
      <c r="J486" t="s">
        <v>26</v>
      </c>
      <c r="K486" t="s">
        <v>19</v>
      </c>
      <c r="L486" t="s">
        <v>19</v>
      </c>
      <c r="M486">
        <f t="shared" si="49"/>
        <v>3</v>
      </c>
      <c r="N486">
        <f t="shared" si="50"/>
        <v>3</v>
      </c>
      <c r="O486" t="str">
        <f t="shared" si="51"/>
        <v>Met</v>
      </c>
      <c r="P486" t="str">
        <f t="shared" si="52"/>
        <v>Dec</v>
      </c>
      <c r="Q486">
        <f t="shared" si="53"/>
        <v>2025</v>
      </c>
      <c r="R486" t="str">
        <f t="shared" si="54"/>
        <v>Closed</v>
      </c>
      <c r="S486" t="str">
        <f t="shared" si="55"/>
        <v>Dec</v>
      </c>
    </row>
    <row r="487" spans="1:19" x14ac:dyDescent="0.25">
      <c r="A487" t="s">
        <v>569</v>
      </c>
      <c r="B487" s="1">
        <v>46001</v>
      </c>
      <c r="D487" t="s">
        <v>28</v>
      </c>
      <c r="E487" t="s">
        <v>76</v>
      </c>
      <c r="F487" t="s">
        <v>592</v>
      </c>
      <c r="G487" t="s">
        <v>42</v>
      </c>
      <c r="H487" t="s">
        <v>62</v>
      </c>
      <c r="I487" t="s">
        <v>38</v>
      </c>
      <c r="J487" t="s">
        <v>34</v>
      </c>
      <c r="K487" t="s">
        <v>19</v>
      </c>
      <c r="L487" t="s">
        <v>20</v>
      </c>
      <c r="M487" t="str">
        <f t="shared" si="49"/>
        <v/>
      </c>
      <c r="N487">
        <f t="shared" si="50"/>
        <v>1</v>
      </c>
      <c r="O487" t="str">
        <f t="shared" si="51"/>
        <v>Open</v>
      </c>
      <c r="P487" t="str">
        <f t="shared" si="52"/>
        <v>Dec</v>
      </c>
      <c r="Q487">
        <f t="shared" si="53"/>
        <v>2025</v>
      </c>
      <c r="R487" t="str">
        <f t="shared" si="54"/>
        <v>Open</v>
      </c>
      <c r="S487" t="str">
        <f t="shared" si="55"/>
        <v>Open</v>
      </c>
    </row>
    <row r="488" spans="1:19" x14ac:dyDescent="0.25">
      <c r="A488" t="s">
        <v>570</v>
      </c>
      <c r="B488" s="1">
        <v>45779</v>
      </c>
      <c r="C488" s="1">
        <v>45779</v>
      </c>
      <c r="D488" t="s">
        <v>28</v>
      </c>
      <c r="E488" t="s">
        <v>29</v>
      </c>
      <c r="F488" t="s">
        <v>41</v>
      </c>
      <c r="G488" t="s">
        <v>16</v>
      </c>
      <c r="H488" t="s">
        <v>591</v>
      </c>
      <c r="I488" t="s">
        <v>38</v>
      </c>
      <c r="J488" t="s">
        <v>60</v>
      </c>
      <c r="K488" t="s">
        <v>20</v>
      </c>
      <c r="L488" t="s">
        <v>19</v>
      </c>
      <c r="M488">
        <f t="shared" si="49"/>
        <v>0</v>
      </c>
      <c r="N488">
        <f t="shared" si="50"/>
        <v>1</v>
      </c>
      <c r="O488" t="str">
        <f t="shared" si="51"/>
        <v>Met</v>
      </c>
      <c r="P488" t="str">
        <f t="shared" si="52"/>
        <v>May</v>
      </c>
      <c r="Q488">
        <f t="shared" si="53"/>
        <v>2025</v>
      </c>
      <c r="R488" t="str">
        <f t="shared" si="54"/>
        <v>Closed</v>
      </c>
      <c r="S488" t="str">
        <f t="shared" si="55"/>
        <v>May</v>
      </c>
    </row>
    <row r="489" spans="1:19" x14ac:dyDescent="0.25">
      <c r="A489" t="s">
        <v>571</v>
      </c>
      <c r="B489" s="1">
        <v>45820</v>
      </c>
      <c r="C489" s="1">
        <v>45821</v>
      </c>
      <c r="D489" t="s">
        <v>49</v>
      </c>
      <c r="E489" t="s">
        <v>14</v>
      </c>
      <c r="F489" t="s">
        <v>50</v>
      </c>
      <c r="G489" t="s">
        <v>55</v>
      </c>
      <c r="H489" t="s">
        <v>136</v>
      </c>
      <c r="I489" t="s">
        <v>25</v>
      </c>
      <c r="J489" t="s">
        <v>60</v>
      </c>
      <c r="K489" t="s">
        <v>39</v>
      </c>
      <c r="L489" t="s">
        <v>39</v>
      </c>
      <c r="M489">
        <f t="shared" si="49"/>
        <v>1</v>
      </c>
      <c r="N489">
        <f t="shared" si="50"/>
        <v>3</v>
      </c>
      <c r="O489" t="str">
        <f t="shared" si="51"/>
        <v>Met</v>
      </c>
      <c r="P489" t="str">
        <f t="shared" si="52"/>
        <v>Jun</v>
      </c>
      <c r="Q489">
        <f t="shared" si="53"/>
        <v>2025</v>
      </c>
      <c r="R489" t="str">
        <f t="shared" si="54"/>
        <v>Closed</v>
      </c>
      <c r="S489" t="str">
        <f t="shared" si="55"/>
        <v>Jun</v>
      </c>
    </row>
    <row r="490" spans="1:19" x14ac:dyDescent="0.25">
      <c r="A490" t="s">
        <v>572</v>
      </c>
      <c r="B490" s="1">
        <v>46010</v>
      </c>
      <c r="C490" s="1">
        <v>46012</v>
      </c>
      <c r="D490" t="s">
        <v>45</v>
      </c>
      <c r="E490" t="s">
        <v>14</v>
      </c>
      <c r="F490" t="s">
        <v>36</v>
      </c>
      <c r="G490" t="s">
        <v>55</v>
      </c>
      <c r="H490" t="s">
        <v>106</v>
      </c>
      <c r="I490" t="s">
        <v>52</v>
      </c>
      <c r="J490" t="s">
        <v>18</v>
      </c>
      <c r="K490" t="s">
        <v>20</v>
      </c>
      <c r="L490" t="s">
        <v>19</v>
      </c>
      <c r="M490">
        <f t="shared" si="49"/>
        <v>2</v>
      </c>
      <c r="N490">
        <f t="shared" si="50"/>
        <v>5</v>
      </c>
      <c r="O490" t="str">
        <f t="shared" si="51"/>
        <v>Met</v>
      </c>
      <c r="P490" t="str">
        <f t="shared" si="52"/>
        <v>Dec</v>
      </c>
      <c r="Q490">
        <f t="shared" si="53"/>
        <v>2025</v>
      </c>
      <c r="R490" t="str">
        <f t="shared" si="54"/>
        <v>Closed</v>
      </c>
      <c r="S490" t="str">
        <f t="shared" si="55"/>
        <v>Dec</v>
      </c>
    </row>
    <row r="491" spans="1:19" x14ac:dyDescent="0.25">
      <c r="A491" t="s">
        <v>573</v>
      </c>
      <c r="B491" s="1">
        <v>45728</v>
      </c>
      <c r="C491" s="1">
        <v>45734</v>
      </c>
      <c r="D491" t="s">
        <v>13</v>
      </c>
      <c r="E491" t="s">
        <v>29</v>
      </c>
      <c r="F491" t="s">
        <v>592</v>
      </c>
      <c r="G491" t="s">
        <v>42</v>
      </c>
      <c r="H491" t="s">
        <v>62</v>
      </c>
      <c r="I491" t="s">
        <v>17</v>
      </c>
      <c r="J491" t="s">
        <v>60</v>
      </c>
      <c r="K491" t="s">
        <v>20</v>
      </c>
      <c r="L491" t="s">
        <v>20</v>
      </c>
      <c r="M491">
        <f t="shared" si="49"/>
        <v>6</v>
      </c>
      <c r="N491">
        <f t="shared" si="50"/>
        <v>7</v>
      </c>
      <c r="O491" t="str">
        <f t="shared" si="51"/>
        <v>Met</v>
      </c>
      <c r="P491" t="str">
        <f t="shared" si="52"/>
        <v>Mar</v>
      </c>
      <c r="Q491">
        <f t="shared" si="53"/>
        <v>2025</v>
      </c>
      <c r="R491" t="str">
        <f t="shared" si="54"/>
        <v>Closed</v>
      </c>
      <c r="S491" t="str">
        <f t="shared" si="55"/>
        <v>Mar</v>
      </c>
    </row>
    <row r="492" spans="1:19" x14ac:dyDescent="0.25">
      <c r="A492" t="s">
        <v>574</v>
      </c>
      <c r="B492" s="1">
        <v>45838</v>
      </c>
      <c r="C492" s="1">
        <v>45842</v>
      </c>
      <c r="D492" t="s">
        <v>45</v>
      </c>
      <c r="E492" t="s">
        <v>29</v>
      </c>
      <c r="F492" t="s">
        <v>41</v>
      </c>
      <c r="G492" t="s">
        <v>31</v>
      </c>
      <c r="H492" t="s">
        <v>37</v>
      </c>
      <c r="I492" t="s">
        <v>47</v>
      </c>
      <c r="J492" t="s">
        <v>26</v>
      </c>
      <c r="K492" t="s">
        <v>19</v>
      </c>
      <c r="L492" t="s">
        <v>20</v>
      </c>
      <c r="M492">
        <f t="shared" si="49"/>
        <v>4</v>
      </c>
      <c r="N492">
        <f t="shared" si="50"/>
        <v>5</v>
      </c>
      <c r="O492" t="str">
        <f t="shared" si="51"/>
        <v>Met</v>
      </c>
      <c r="P492" t="str">
        <f t="shared" si="52"/>
        <v>Jun</v>
      </c>
      <c r="Q492">
        <f t="shared" si="53"/>
        <v>2025</v>
      </c>
      <c r="R492" t="str">
        <f t="shared" si="54"/>
        <v>Closed</v>
      </c>
      <c r="S492" t="str">
        <f t="shared" si="55"/>
        <v>Jul</v>
      </c>
    </row>
    <row r="493" spans="1:19" x14ac:dyDescent="0.25">
      <c r="A493" t="s">
        <v>575</v>
      </c>
      <c r="B493" s="1">
        <v>45916</v>
      </c>
      <c r="D493" t="s">
        <v>45</v>
      </c>
      <c r="E493" t="s">
        <v>76</v>
      </c>
      <c r="F493" t="s">
        <v>592</v>
      </c>
      <c r="G493" t="s">
        <v>31</v>
      </c>
      <c r="H493" t="s">
        <v>77</v>
      </c>
      <c r="I493" t="s">
        <v>47</v>
      </c>
      <c r="J493" t="s">
        <v>60</v>
      </c>
      <c r="K493" t="s">
        <v>39</v>
      </c>
      <c r="L493" t="s">
        <v>20</v>
      </c>
      <c r="M493" t="str">
        <f t="shared" si="49"/>
        <v/>
      </c>
      <c r="N493">
        <f t="shared" si="50"/>
        <v>5</v>
      </c>
      <c r="O493" t="str">
        <f t="shared" si="51"/>
        <v>Open</v>
      </c>
      <c r="P493" t="str">
        <f t="shared" si="52"/>
        <v>Sep</v>
      </c>
      <c r="Q493">
        <f t="shared" si="53"/>
        <v>2025</v>
      </c>
      <c r="R493" t="str">
        <f t="shared" si="54"/>
        <v>Open</v>
      </c>
      <c r="S493" t="str">
        <f t="shared" si="55"/>
        <v>Open</v>
      </c>
    </row>
    <row r="494" spans="1:19" x14ac:dyDescent="0.25">
      <c r="A494" t="s">
        <v>576</v>
      </c>
      <c r="B494" s="1">
        <v>45714</v>
      </c>
      <c r="D494" t="s">
        <v>13</v>
      </c>
      <c r="E494" t="s">
        <v>58</v>
      </c>
      <c r="F494" t="s">
        <v>36</v>
      </c>
      <c r="G494" t="s">
        <v>16</v>
      </c>
      <c r="H494" t="s">
        <v>77</v>
      </c>
      <c r="I494" t="s">
        <v>33</v>
      </c>
      <c r="J494" t="s">
        <v>18</v>
      </c>
      <c r="K494" t="s">
        <v>19</v>
      </c>
      <c r="L494" t="s">
        <v>20</v>
      </c>
      <c r="M494" t="str">
        <f t="shared" si="49"/>
        <v/>
      </c>
      <c r="N494">
        <f t="shared" si="50"/>
        <v>7</v>
      </c>
      <c r="O494" t="str">
        <f t="shared" si="51"/>
        <v>Open</v>
      </c>
      <c r="P494" t="str">
        <f t="shared" si="52"/>
        <v>Feb</v>
      </c>
      <c r="Q494">
        <f t="shared" si="53"/>
        <v>2025</v>
      </c>
      <c r="R494" t="str">
        <f t="shared" si="54"/>
        <v>Open</v>
      </c>
      <c r="S494" t="str">
        <f t="shared" si="55"/>
        <v>Open</v>
      </c>
    </row>
    <row r="495" spans="1:19" x14ac:dyDescent="0.25">
      <c r="A495" t="s">
        <v>577</v>
      </c>
      <c r="B495" s="1">
        <v>45797</v>
      </c>
      <c r="C495" s="1">
        <v>45798</v>
      </c>
      <c r="D495" t="s">
        <v>49</v>
      </c>
      <c r="E495" t="s">
        <v>29</v>
      </c>
      <c r="F495" t="s">
        <v>592</v>
      </c>
      <c r="G495" t="s">
        <v>55</v>
      </c>
      <c r="H495" t="s">
        <v>59</v>
      </c>
      <c r="I495" t="s">
        <v>25</v>
      </c>
      <c r="J495" t="s">
        <v>60</v>
      </c>
      <c r="K495" t="s">
        <v>39</v>
      </c>
      <c r="L495" t="s">
        <v>19</v>
      </c>
      <c r="M495">
        <f t="shared" si="49"/>
        <v>1</v>
      </c>
      <c r="N495">
        <f t="shared" si="50"/>
        <v>3</v>
      </c>
      <c r="O495" t="str">
        <f t="shared" si="51"/>
        <v>Met</v>
      </c>
      <c r="P495" t="str">
        <f t="shared" si="52"/>
        <v>May</v>
      </c>
      <c r="Q495">
        <f t="shared" si="53"/>
        <v>2025</v>
      </c>
      <c r="R495" t="str">
        <f t="shared" si="54"/>
        <v>Closed</v>
      </c>
      <c r="S495" t="str">
        <f t="shared" si="55"/>
        <v>May</v>
      </c>
    </row>
    <row r="496" spans="1:19" x14ac:dyDescent="0.25">
      <c r="A496" t="s">
        <v>578</v>
      </c>
      <c r="B496" s="1">
        <v>45691</v>
      </c>
      <c r="C496" s="1">
        <v>45695</v>
      </c>
      <c r="D496" t="s">
        <v>45</v>
      </c>
      <c r="E496" t="s">
        <v>29</v>
      </c>
      <c r="F496" t="s">
        <v>15</v>
      </c>
      <c r="G496" t="s">
        <v>31</v>
      </c>
      <c r="H496" t="s">
        <v>92</v>
      </c>
      <c r="I496" t="s">
        <v>52</v>
      </c>
      <c r="J496" t="s">
        <v>60</v>
      </c>
      <c r="K496" t="s">
        <v>39</v>
      </c>
      <c r="L496" t="s">
        <v>39</v>
      </c>
      <c r="M496">
        <f t="shared" si="49"/>
        <v>4</v>
      </c>
      <c r="N496">
        <f t="shared" si="50"/>
        <v>5</v>
      </c>
      <c r="O496" t="str">
        <f t="shared" si="51"/>
        <v>Met</v>
      </c>
      <c r="P496" t="str">
        <f t="shared" si="52"/>
        <v>Feb</v>
      </c>
      <c r="Q496">
        <f t="shared" si="53"/>
        <v>2025</v>
      </c>
      <c r="R496" t="str">
        <f t="shared" si="54"/>
        <v>Closed</v>
      </c>
      <c r="S496" t="str">
        <f t="shared" si="55"/>
        <v>Feb</v>
      </c>
    </row>
    <row r="497" spans="1:19" x14ac:dyDescent="0.25">
      <c r="A497" t="s">
        <v>579</v>
      </c>
      <c r="B497" s="1">
        <v>46016</v>
      </c>
      <c r="C497" s="1">
        <v>46018</v>
      </c>
      <c r="D497" t="s">
        <v>45</v>
      </c>
      <c r="E497" t="s">
        <v>14</v>
      </c>
      <c r="F497" t="s">
        <v>66</v>
      </c>
      <c r="G497" t="s">
        <v>591</v>
      </c>
      <c r="H497" t="s">
        <v>37</v>
      </c>
      <c r="I497" t="s">
        <v>25</v>
      </c>
      <c r="J497" t="s">
        <v>34</v>
      </c>
      <c r="K497" t="s">
        <v>19</v>
      </c>
      <c r="L497" t="s">
        <v>39</v>
      </c>
      <c r="M497">
        <f t="shared" si="49"/>
        <v>2</v>
      </c>
      <c r="N497">
        <f t="shared" si="50"/>
        <v>5</v>
      </c>
      <c r="O497" t="str">
        <f t="shared" si="51"/>
        <v>Met</v>
      </c>
      <c r="P497" t="str">
        <f t="shared" si="52"/>
        <v>Dec</v>
      </c>
      <c r="Q497">
        <f t="shared" si="53"/>
        <v>2025</v>
      </c>
      <c r="R497" t="str">
        <f t="shared" si="54"/>
        <v>Closed</v>
      </c>
      <c r="S497" t="str">
        <f t="shared" si="55"/>
        <v>Dec</v>
      </c>
    </row>
    <row r="498" spans="1:19" x14ac:dyDescent="0.25">
      <c r="A498" t="s">
        <v>580</v>
      </c>
      <c r="B498" s="1">
        <v>45900</v>
      </c>
      <c r="C498" s="1">
        <v>45904</v>
      </c>
      <c r="D498" t="s">
        <v>45</v>
      </c>
      <c r="E498" t="s">
        <v>29</v>
      </c>
      <c r="F498" t="s">
        <v>50</v>
      </c>
      <c r="G498" t="s">
        <v>55</v>
      </c>
      <c r="H498" t="s">
        <v>37</v>
      </c>
      <c r="I498" t="s">
        <v>33</v>
      </c>
      <c r="J498" t="s">
        <v>26</v>
      </c>
      <c r="K498" t="s">
        <v>19</v>
      </c>
      <c r="L498" t="s">
        <v>20</v>
      </c>
      <c r="M498">
        <f t="shared" si="49"/>
        <v>4</v>
      </c>
      <c r="N498">
        <f t="shared" si="50"/>
        <v>5</v>
      </c>
      <c r="O498" t="str">
        <f t="shared" si="51"/>
        <v>Met</v>
      </c>
      <c r="P498" t="str">
        <f t="shared" si="52"/>
        <v>Aug</v>
      </c>
      <c r="Q498">
        <f t="shared" si="53"/>
        <v>2025</v>
      </c>
      <c r="R498" t="str">
        <f t="shared" si="54"/>
        <v>Closed</v>
      </c>
      <c r="S498" t="str">
        <f t="shared" si="55"/>
        <v>Sep</v>
      </c>
    </row>
    <row r="499" spans="1:19" x14ac:dyDescent="0.25">
      <c r="A499" t="s">
        <v>581</v>
      </c>
      <c r="B499" s="1">
        <v>45892</v>
      </c>
      <c r="D499" t="s">
        <v>49</v>
      </c>
      <c r="E499" t="s">
        <v>76</v>
      </c>
      <c r="F499" t="s">
        <v>41</v>
      </c>
      <c r="G499" t="s">
        <v>591</v>
      </c>
      <c r="H499" t="s">
        <v>59</v>
      </c>
      <c r="I499" t="s">
        <v>69</v>
      </c>
      <c r="J499" t="s">
        <v>18</v>
      </c>
      <c r="K499" t="s">
        <v>39</v>
      </c>
      <c r="L499" t="s">
        <v>39</v>
      </c>
      <c r="M499" t="str">
        <f t="shared" si="49"/>
        <v/>
      </c>
      <c r="N499">
        <f t="shared" si="50"/>
        <v>3</v>
      </c>
      <c r="O499" t="str">
        <f t="shared" si="51"/>
        <v>Open</v>
      </c>
      <c r="P499" t="str">
        <f t="shared" si="52"/>
        <v>Aug</v>
      </c>
      <c r="Q499">
        <f t="shared" si="53"/>
        <v>2025</v>
      </c>
      <c r="R499" t="str">
        <f t="shared" si="54"/>
        <v>Open</v>
      </c>
      <c r="S499" t="str">
        <f t="shared" si="55"/>
        <v>Open</v>
      </c>
    </row>
    <row r="500" spans="1:19" x14ac:dyDescent="0.25">
      <c r="A500" t="s">
        <v>582</v>
      </c>
      <c r="B500" s="1">
        <v>46014</v>
      </c>
      <c r="C500" s="1">
        <v>46018</v>
      </c>
      <c r="D500" t="s">
        <v>45</v>
      </c>
      <c r="E500" t="s">
        <v>14</v>
      </c>
      <c r="F500" t="s">
        <v>15</v>
      </c>
      <c r="G500" t="s">
        <v>42</v>
      </c>
      <c r="H500" t="s">
        <v>128</v>
      </c>
      <c r="I500" t="s">
        <v>69</v>
      </c>
      <c r="J500" t="s">
        <v>18</v>
      </c>
      <c r="K500" t="s">
        <v>19</v>
      </c>
      <c r="L500" t="s">
        <v>20</v>
      </c>
      <c r="M500">
        <f t="shared" si="49"/>
        <v>4</v>
      </c>
      <c r="N500">
        <f t="shared" si="50"/>
        <v>5</v>
      </c>
      <c r="O500" t="str">
        <f t="shared" si="51"/>
        <v>Met</v>
      </c>
      <c r="P500" t="str">
        <f t="shared" si="52"/>
        <v>Dec</v>
      </c>
      <c r="Q500">
        <f t="shared" si="53"/>
        <v>2025</v>
      </c>
      <c r="R500" t="str">
        <f t="shared" si="54"/>
        <v>Closed</v>
      </c>
      <c r="S500" t="str">
        <f t="shared" si="55"/>
        <v>Dec</v>
      </c>
    </row>
    <row r="501" spans="1:19" x14ac:dyDescent="0.25">
      <c r="A501" t="s">
        <v>583</v>
      </c>
      <c r="B501" s="1">
        <v>45799</v>
      </c>
      <c r="C501" s="1">
        <v>45799</v>
      </c>
      <c r="D501" t="s">
        <v>49</v>
      </c>
      <c r="E501" t="s">
        <v>29</v>
      </c>
      <c r="F501" t="s">
        <v>41</v>
      </c>
      <c r="G501" t="s">
        <v>55</v>
      </c>
      <c r="H501" t="s">
        <v>110</v>
      </c>
      <c r="I501" t="s">
        <v>33</v>
      </c>
      <c r="J501" t="s">
        <v>26</v>
      </c>
      <c r="K501" t="s">
        <v>19</v>
      </c>
      <c r="L501" t="s">
        <v>19</v>
      </c>
      <c r="M501">
        <f t="shared" si="49"/>
        <v>0</v>
      </c>
      <c r="N501">
        <f t="shared" si="50"/>
        <v>3</v>
      </c>
      <c r="O501" t="str">
        <f t="shared" si="51"/>
        <v>Met</v>
      </c>
      <c r="P501" t="str">
        <f t="shared" si="52"/>
        <v>May</v>
      </c>
      <c r="Q501">
        <f t="shared" si="53"/>
        <v>2025</v>
      </c>
      <c r="R501" t="str">
        <f t="shared" si="54"/>
        <v>Closed</v>
      </c>
      <c r="S501" t="str">
        <f t="shared" si="55"/>
        <v>May</v>
      </c>
    </row>
  </sheetData>
  <pageMargins left="0.7" right="0.7" top="0.75" bottom="0.75" header="0.3" footer="0.3"/>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30"/>
  <sheetViews>
    <sheetView tabSelected="1" workbookViewId="0"/>
  </sheetViews>
  <sheetFormatPr defaultRowHeight="15" x14ac:dyDescent="0.25"/>
  <cols>
    <col min="1" max="2" width="13.140625" style="7" bestFit="1" customWidth="1"/>
    <col min="3" max="3" width="17.42578125" style="7" bestFit="1" customWidth="1"/>
    <col min="6" max="6" width="13.140625" style="7" bestFit="1" customWidth="1"/>
    <col min="7" max="7" width="17.42578125" style="7" bestFit="1" customWidth="1"/>
    <col min="10" max="10" width="16.28515625" style="7" bestFit="1" customWidth="1"/>
    <col min="11" max="11" width="17.42578125" style="7" bestFit="1" customWidth="1"/>
    <col min="14" max="14" width="13.28515625" style="7" bestFit="1" customWidth="1"/>
    <col min="15" max="15" width="17.42578125" style="7" bestFit="1" customWidth="1"/>
  </cols>
  <sheetData>
    <row r="2" spans="2:15" x14ac:dyDescent="0.25">
      <c r="B2" t="s">
        <v>593</v>
      </c>
      <c r="F2" t="s">
        <v>594</v>
      </c>
      <c r="J2" t="s">
        <v>595</v>
      </c>
      <c r="N2" t="s">
        <v>596</v>
      </c>
    </row>
    <row r="3" spans="2:15" x14ac:dyDescent="0.25">
      <c r="B3" s="5" t="s">
        <v>597</v>
      </c>
      <c r="C3" t="s">
        <v>598</v>
      </c>
      <c r="F3" s="5" t="s">
        <v>597</v>
      </c>
      <c r="G3" t="s">
        <v>598</v>
      </c>
      <c r="J3" s="5" t="s">
        <v>597</v>
      </c>
      <c r="K3" t="s">
        <v>598</v>
      </c>
      <c r="N3" s="5" t="s">
        <v>597</v>
      </c>
      <c r="O3" t="s">
        <v>598</v>
      </c>
    </row>
    <row r="4" spans="2:15" x14ac:dyDescent="0.25">
      <c r="B4" s="6" t="s">
        <v>13</v>
      </c>
      <c r="C4" s="15">
        <v>120</v>
      </c>
      <c r="F4" s="6" t="s">
        <v>14</v>
      </c>
      <c r="G4" s="15">
        <v>362</v>
      </c>
      <c r="J4" s="6" t="s">
        <v>592</v>
      </c>
      <c r="K4" s="15">
        <v>70</v>
      </c>
      <c r="N4" s="6" t="s">
        <v>23</v>
      </c>
      <c r="O4" s="15">
        <v>112</v>
      </c>
    </row>
    <row r="5" spans="2:15" x14ac:dyDescent="0.25">
      <c r="B5" s="6" t="s">
        <v>45</v>
      </c>
      <c r="C5" s="15">
        <v>121</v>
      </c>
      <c r="F5" s="6" t="s">
        <v>76</v>
      </c>
      <c r="G5" s="15">
        <v>138</v>
      </c>
      <c r="J5" s="6" t="s">
        <v>15</v>
      </c>
      <c r="K5" s="15">
        <v>68</v>
      </c>
      <c r="N5" s="6" t="s">
        <v>55</v>
      </c>
      <c r="O5" s="15">
        <v>101</v>
      </c>
    </row>
    <row r="6" spans="2:15" x14ac:dyDescent="0.25">
      <c r="B6" s="6" t="s">
        <v>49</v>
      </c>
      <c r="C6" s="15">
        <v>143</v>
      </c>
      <c r="E6" s="8"/>
      <c r="F6" s="6" t="s">
        <v>599</v>
      </c>
      <c r="G6" s="15">
        <v>500</v>
      </c>
      <c r="J6" s="6" t="s">
        <v>41</v>
      </c>
      <c r="K6" s="15">
        <v>66</v>
      </c>
      <c r="N6" s="6" t="s">
        <v>16</v>
      </c>
      <c r="O6" s="15">
        <v>94</v>
      </c>
    </row>
    <row r="7" spans="2:15" x14ac:dyDescent="0.25">
      <c r="B7" s="6" t="s">
        <v>28</v>
      </c>
      <c r="C7" s="15">
        <v>116</v>
      </c>
      <c r="J7" s="6" t="s">
        <v>30</v>
      </c>
      <c r="K7" s="15">
        <v>66</v>
      </c>
      <c r="N7" s="6" t="s">
        <v>42</v>
      </c>
      <c r="O7" s="15">
        <v>92</v>
      </c>
    </row>
    <row r="8" spans="2:15" x14ac:dyDescent="0.25">
      <c r="B8" s="6" t="s">
        <v>599</v>
      </c>
      <c r="C8" s="15">
        <v>500</v>
      </c>
      <c r="J8" s="6" t="s">
        <v>36</v>
      </c>
      <c r="K8" s="15">
        <v>61</v>
      </c>
      <c r="N8" s="6" t="s">
        <v>31</v>
      </c>
      <c r="O8" s="15">
        <v>89</v>
      </c>
    </row>
    <row r="9" spans="2:15" x14ac:dyDescent="0.25">
      <c r="J9" s="6" t="s">
        <v>22</v>
      </c>
      <c r="K9" s="15">
        <v>59</v>
      </c>
      <c r="N9" s="6" t="s">
        <v>591</v>
      </c>
      <c r="O9" s="15">
        <v>12</v>
      </c>
    </row>
    <row r="10" spans="2:15" x14ac:dyDescent="0.25">
      <c r="J10" s="6" t="s">
        <v>66</v>
      </c>
      <c r="K10" s="15">
        <v>57</v>
      </c>
      <c r="N10" s="6" t="s">
        <v>599</v>
      </c>
      <c r="O10" s="15">
        <v>500</v>
      </c>
    </row>
    <row r="11" spans="2:15" x14ac:dyDescent="0.25">
      <c r="J11" s="6" t="s">
        <v>50</v>
      </c>
      <c r="K11" s="15">
        <v>53</v>
      </c>
    </row>
    <row r="12" spans="2:15" x14ac:dyDescent="0.25">
      <c r="B12" t="s">
        <v>600</v>
      </c>
      <c r="J12" s="6" t="s">
        <v>599</v>
      </c>
      <c r="K12" s="15">
        <v>500</v>
      </c>
    </row>
    <row r="13" spans="2:15" x14ac:dyDescent="0.25">
      <c r="B13" s="5" t="s">
        <v>597</v>
      </c>
      <c r="C13" t="s">
        <v>598</v>
      </c>
    </row>
    <row r="14" spans="2:15" x14ac:dyDescent="0.25">
      <c r="B14" s="6" t="s">
        <v>601</v>
      </c>
      <c r="C14" s="15">
        <v>44</v>
      </c>
    </row>
    <row r="15" spans="2:15" x14ac:dyDescent="0.25">
      <c r="B15" s="6" t="s">
        <v>602</v>
      </c>
      <c r="C15" s="15">
        <v>318</v>
      </c>
    </row>
    <row r="16" spans="2:15" x14ac:dyDescent="0.25">
      <c r="B16" s="6" t="s">
        <v>76</v>
      </c>
      <c r="C16" s="15">
        <v>138</v>
      </c>
      <c r="F16" t="s">
        <v>603</v>
      </c>
      <c r="J16" t="s">
        <v>604</v>
      </c>
    </row>
    <row r="17" spans="2:11" x14ac:dyDescent="0.25">
      <c r="B17" s="6" t="s">
        <v>599</v>
      </c>
      <c r="C17" s="15">
        <v>500</v>
      </c>
      <c r="F17" s="5" t="s">
        <v>597</v>
      </c>
      <c r="G17" t="s">
        <v>598</v>
      </c>
      <c r="J17" s="5" t="s">
        <v>597</v>
      </c>
      <c r="K17" t="s">
        <v>605</v>
      </c>
    </row>
    <row r="18" spans="2:11" x14ac:dyDescent="0.25">
      <c r="F18" s="6" t="s">
        <v>606</v>
      </c>
      <c r="G18" s="15">
        <v>46</v>
      </c>
      <c r="J18" s="6" t="s">
        <v>28</v>
      </c>
      <c r="K18" s="9">
        <v>1.1829268292682926</v>
      </c>
    </row>
    <row r="19" spans="2:11" x14ac:dyDescent="0.25">
      <c r="F19" s="6" t="s">
        <v>607</v>
      </c>
      <c r="G19" s="15">
        <v>43</v>
      </c>
      <c r="J19" s="6" t="s">
        <v>49</v>
      </c>
      <c r="K19" s="9">
        <v>2.1132075471698113</v>
      </c>
    </row>
    <row r="20" spans="2:11" x14ac:dyDescent="0.25">
      <c r="F20" s="6" t="s">
        <v>608</v>
      </c>
      <c r="G20" s="15">
        <v>44</v>
      </c>
      <c r="J20" s="6" t="s">
        <v>45</v>
      </c>
      <c r="K20" s="9">
        <v>2.7738095238095237</v>
      </c>
    </row>
    <row r="21" spans="2:11" x14ac:dyDescent="0.25">
      <c r="F21" s="6" t="s">
        <v>609</v>
      </c>
      <c r="G21" s="15">
        <v>25</v>
      </c>
      <c r="J21" s="6" t="s">
        <v>13</v>
      </c>
      <c r="K21" s="9">
        <v>3.9340659340659339</v>
      </c>
    </row>
    <row r="22" spans="2:11" x14ac:dyDescent="0.25">
      <c r="F22" s="6" t="s">
        <v>610</v>
      </c>
      <c r="G22" s="15">
        <v>36</v>
      </c>
      <c r="J22" s="6" t="s">
        <v>599</v>
      </c>
      <c r="K22" s="9">
        <v>2.5123966942148761</v>
      </c>
    </row>
    <row r="23" spans="2:11" x14ac:dyDescent="0.25">
      <c r="F23" s="6" t="s">
        <v>611</v>
      </c>
      <c r="G23" s="15">
        <v>36</v>
      </c>
    </row>
    <row r="24" spans="2:11" x14ac:dyDescent="0.25">
      <c r="F24" s="6" t="s">
        <v>612</v>
      </c>
      <c r="G24" s="15">
        <v>35</v>
      </c>
    </row>
    <row r="25" spans="2:11" x14ac:dyDescent="0.25">
      <c r="F25" s="6" t="s">
        <v>613</v>
      </c>
      <c r="G25" s="15">
        <v>50</v>
      </c>
    </row>
    <row r="26" spans="2:11" x14ac:dyDescent="0.25">
      <c r="F26" s="6" t="s">
        <v>614</v>
      </c>
      <c r="G26" s="15">
        <v>49</v>
      </c>
    </row>
    <row r="27" spans="2:11" x14ac:dyDescent="0.25">
      <c r="F27" s="6" t="s">
        <v>615</v>
      </c>
      <c r="G27" s="15">
        <v>47</v>
      </c>
    </row>
    <row r="28" spans="2:11" x14ac:dyDescent="0.25">
      <c r="F28" s="6" t="s">
        <v>616</v>
      </c>
      <c r="G28" s="15">
        <v>43</v>
      </c>
    </row>
    <row r="29" spans="2:11" x14ac:dyDescent="0.25">
      <c r="F29" s="6" t="s">
        <v>617</v>
      </c>
      <c r="G29" s="15">
        <v>46</v>
      </c>
    </row>
    <row r="30" spans="2:11" x14ac:dyDescent="0.25">
      <c r="F30" s="6" t="s">
        <v>599</v>
      </c>
      <c r="G30" s="15">
        <v>500</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
  <sheetViews>
    <sheetView showGridLines="0" zoomScale="85" zoomScaleNormal="85" workbookViewId="0">
      <selection sqref="A1:H1"/>
    </sheetView>
  </sheetViews>
  <sheetFormatPr defaultRowHeight="15" x14ac:dyDescent="0.25"/>
  <cols>
    <col min="4" max="4" width="17.42578125" style="7" bestFit="1" customWidth="1"/>
    <col min="10" max="10" width="10.7109375" customWidth="1"/>
  </cols>
  <sheetData>
    <row r="1" spans="1:11" ht="18.75" customHeight="1" x14ac:dyDescent="0.3">
      <c r="A1" s="19" t="s">
        <v>618</v>
      </c>
      <c r="B1" s="18"/>
      <c r="C1" s="18"/>
      <c r="D1" s="18"/>
      <c r="E1" s="18"/>
      <c r="F1" s="18"/>
      <c r="G1" s="18"/>
      <c r="H1" s="18"/>
    </row>
    <row r="2" spans="1:11" x14ac:dyDescent="0.25">
      <c r="B2" s="17" t="s">
        <v>619</v>
      </c>
      <c r="C2" s="18"/>
      <c r="D2" s="18"/>
      <c r="E2" s="18"/>
      <c r="F2" s="18"/>
      <c r="G2" s="18"/>
      <c r="J2" t="s">
        <v>620</v>
      </c>
      <c r="K2" t="s">
        <v>621</v>
      </c>
    </row>
    <row r="3" spans="1:11" x14ac:dyDescent="0.25">
      <c r="J3">
        <f>'Pivot Tables'!C15</f>
        <v>318</v>
      </c>
      <c r="K3">
        <f>'Pivot Tables'!C14</f>
        <v>44</v>
      </c>
    </row>
    <row r="7" spans="1:11" x14ac:dyDescent="0.25">
      <c r="G7" s="10" t="s">
        <v>622</v>
      </c>
      <c r="H7" s="10" t="s">
        <v>623</v>
      </c>
      <c r="I7" s="10" t="s">
        <v>624</v>
      </c>
      <c r="J7" s="10" t="s">
        <v>625</v>
      </c>
      <c r="K7" s="10" t="s">
        <v>626</v>
      </c>
    </row>
    <row r="8" spans="1:11" x14ac:dyDescent="0.25">
      <c r="G8">
        <f>'Pivot Tables'!C8</f>
        <v>500</v>
      </c>
      <c r="H8">
        <f>'Pivot Tables'!G5</f>
        <v>138</v>
      </c>
      <c r="I8">
        <f>'Pivot Tables'!G4</f>
        <v>362</v>
      </c>
      <c r="J8" s="11">
        <f>J3/(J3+K3)</f>
        <v>0.87845303867403313</v>
      </c>
      <c r="K8" s="9">
        <f>(GETPIVOTDATA("Resolution_Time (Days)",'Pivot Tables'!$J$17))</f>
        <v>2.5123966942148761</v>
      </c>
    </row>
  </sheetData>
  <mergeCells count="2">
    <mergeCell ref="B2:G2"/>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4"/>
  <sheetViews>
    <sheetView workbookViewId="0">
      <selection activeCell="C16" sqref="C16"/>
    </sheetView>
  </sheetViews>
  <sheetFormatPr defaultRowHeight="15" x14ac:dyDescent="0.25"/>
  <sheetData>
    <row r="1" spans="1:1" ht="23.25" customHeight="1" x14ac:dyDescent="0.25">
      <c r="A1" s="2" t="s">
        <v>627</v>
      </c>
    </row>
    <row r="2" spans="1:1" x14ac:dyDescent="0.25">
      <c r="A2" s="3"/>
    </row>
    <row r="3" spans="1:1" x14ac:dyDescent="0.25">
      <c r="A3" s="3" t="s">
        <v>628</v>
      </c>
    </row>
    <row r="4" spans="1:1" x14ac:dyDescent="0.25">
      <c r="A4" s="3"/>
    </row>
    <row r="5" spans="1:1" x14ac:dyDescent="0.25">
      <c r="A5" s="3" t="s">
        <v>629</v>
      </c>
    </row>
    <row r="6" spans="1:1" x14ac:dyDescent="0.25">
      <c r="A6" s="4" t="s">
        <v>630</v>
      </c>
    </row>
    <row r="7" spans="1:1" x14ac:dyDescent="0.25">
      <c r="A7" s="4"/>
    </row>
    <row r="8" spans="1:1" x14ac:dyDescent="0.25">
      <c r="A8" s="4" t="s">
        <v>631</v>
      </c>
    </row>
    <row r="9" spans="1:1" x14ac:dyDescent="0.25">
      <c r="A9" s="3"/>
    </row>
    <row r="10" spans="1:1" x14ac:dyDescent="0.25">
      <c r="A10" s="3" t="s">
        <v>632</v>
      </c>
    </row>
    <row r="11" spans="1:1" x14ac:dyDescent="0.25">
      <c r="A11" s="3"/>
    </row>
    <row r="12" spans="1:1" x14ac:dyDescent="0.25">
      <c r="A12" s="3" t="s">
        <v>633</v>
      </c>
    </row>
    <row r="13" spans="1:1" x14ac:dyDescent="0.25">
      <c r="A13" s="3"/>
    </row>
    <row r="14" spans="1:1" x14ac:dyDescent="0.25">
      <c r="A14" s="3" t="s">
        <v>634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BE0E-96AC-4CBA-A60D-72E6148E8C5C}">
  <dimension ref="A1:B9"/>
  <sheetViews>
    <sheetView workbookViewId="0">
      <selection activeCell="M14" sqref="M14"/>
    </sheetView>
  </sheetViews>
  <sheetFormatPr defaultRowHeight="15" x14ac:dyDescent="0.25"/>
  <sheetData>
    <row r="1" spans="1:2" x14ac:dyDescent="0.25">
      <c r="A1" t="s">
        <v>635</v>
      </c>
    </row>
    <row r="3" spans="1:2" ht="21" x14ac:dyDescent="0.35">
      <c r="A3" s="20" t="s">
        <v>636</v>
      </c>
      <c r="B3" s="20"/>
    </row>
    <row r="5" spans="1:2" x14ac:dyDescent="0.25">
      <c r="A5" s="8" t="s">
        <v>637</v>
      </c>
    </row>
    <row r="6" spans="1:2" x14ac:dyDescent="0.25">
      <c r="A6" t="s">
        <v>638</v>
      </c>
    </row>
    <row r="7" spans="1:2" x14ac:dyDescent="0.25">
      <c r="A7" t="s">
        <v>639</v>
      </c>
    </row>
    <row r="8" spans="1:2" x14ac:dyDescent="0.25">
      <c r="A8" t="s">
        <v>640</v>
      </c>
    </row>
    <row r="9" spans="1:2" x14ac:dyDescent="0.25">
      <c r="A9" t="s">
        <v>641</v>
      </c>
    </row>
  </sheetData>
  <mergeCells count="1">
    <mergeCell ref="A3:B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vt:lpstr>
      <vt:lpstr>Pivot Tables</vt:lpstr>
      <vt:lpstr>Dashboard</vt:lpstr>
      <vt:lpstr>Cleaning Data</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AMD</dc:creator>
  <cp:lastModifiedBy>AMD</cp:lastModifiedBy>
  <dcterms:created xsi:type="dcterms:W3CDTF">2026-07-13T13:21:35Z</dcterms:created>
  <dcterms:modified xsi:type="dcterms:W3CDTF">2026-07-16T14:47:26Z</dcterms:modified>
</cp:coreProperties>
</file>